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<sst xmlns="http://schemas.openxmlformats.org/spreadsheetml/2006/main" count="786" uniqueCount="31">
  <si>
    <t xml:space="preserve">Config</t>
  </si>
  <si>
    <t xml:space="preserve">Nodes</t>
  </si>
  <si>
    <t xml:space="preserve">Success Rate (%)</t>
  </si>
  <si>
    <t xml:space="preserve">Requests</t>
  </si>
  <si>
    <t xml:space="preserve">Average Total Latency (ms)</t>
  </si>
  <si>
    <t xml:space="preserve">TPS</t>
  </si>
  <si>
    <t xml:space="preserve">Average Node Latency (ms)</t>
  </si>
  <si>
    <t xml:space="preserve">Request Cost(ETH)</t>
  </si>
  <si>
    <t xml:space="preserve">Node Cost (ETH)</t>
  </si>
  <si>
    <t xml:space="preserve">Latency (1 node)</t>
  </si>
  <si>
    <t xml:space="preserve">Base</t>
  </si>
  <si>
    <t xml:space="preserve">Base+TX</t>
  </si>
  <si>
    <t xml:space="preserve">Complete</t>
  </si>
  <si>
    <t xml:space="preserve">Throughput Scaling</t>
  </si>
  <si>
    <t xml:space="preserve">1 Node</t>
  </si>
  <si>
    <t xml:space="preserve">5 Nodes</t>
  </si>
  <si>
    <t xml:space="preserve">Cost Analisys (ETH)</t>
  </si>
  <si>
    <t xml:space="preserve">Base (5 nodes)</t>
  </si>
  <si>
    <t xml:space="preserve">Base+TX (5 nodes)</t>
  </si>
  <si>
    <t xml:space="preserve">Complete (5 nodes)</t>
  </si>
  <si>
    <t xml:space="preserve">Latency (5 node)</t>
  </si>
  <si>
    <t xml:space="preserve">Cost Analisys (USD)</t>
  </si>
  <si>
    <t xml:space="preserve">(2341.63 USD per Ether)</t>
  </si>
  <si>
    <t xml:space="preserve">Throughput (1 node)</t>
  </si>
  <si>
    <t xml:space="preserve">Throughput (5 node)</t>
  </si>
  <si>
    <t xml:space="preserve">Hónap</t>
  </si>
  <si>
    <t xml:space="preserve">Számítógép</t>
  </si>
  <si>
    <t xml:space="preserve">Mobil</t>
  </si>
  <si>
    <t xml:space="preserve">Jan</t>
  </si>
  <si>
    <t xml:space="preserve">Feb</t>
  </si>
  <si>
    <t xml:space="preserve">Már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</si>
</sst>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"/>
    <numFmt numFmtId="166" formatCode="0.0000"/>
    <numFmt numFmtId="167" formatCode="0.000000"/>
    <numFmt numFmtId="168" formatCode="#,##0.0000"/>
    <numFmt numFmtId="169" formatCode="0.00000000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5983B0"/>
        <bgColor rgb="FF808080"/>
      </patternFill>
    </fill>
    <fill>
      <patternFill patternType="solid">
        <fgColor rgb="FF729FCF"/>
        <bgColor rgb="FF5983B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729FC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83B0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R306"/>
  <sheetViews>
    <sheetView showFormulas="false" showGridLines="true" showRowColHeaders="true" showZeros="true" rightToLeft="false" tabSelected="true" showOutlineSymbols="true" defaultGridColor="true" view="normal" topLeftCell="AC1" colorId="64" zoomScale="100" zoomScaleNormal="100" zoomScalePageLayoutView="100" workbookViewId="0">
      <selection pane="topLeft" activeCell="AJ21" activeCellId="0" sqref="AJ2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9.22"/>
    <col collapsed="false" customWidth="true" hidden="false" outlineLevel="0" max="2" min="2" style="0" width="6.72"/>
    <col collapsed="false" customWidth="true" hidden="false" outlineLevel="0" max="3" min="3" style="0" width="16.31"/>
    <col collapsed="false" customWidth="true" hidden="false" outlineLevel="0" max="4" min="4" style="0" width="9.22"/>
    <col collapsed="false" customWidth="true" hidden="false" outlineLevel="0" max="5" min="5" style="0" width="23.96"/>
    <col collapsed="false" customWidth="true" hidden="false" outlineLevel="0" max="7" min="7" style="0" width="24.11"/>
    <col collapsed="false" customWidth="true" hidden="false" outlineLevel="0" max="8" min="8" style="0" width="17.29"/>
    <col collapsed="false" customWidth="true" hidden="false" outlineLevel="0" max="9" min="9" style="0" width="15.34"/>
    <col collapsed="false" customWidth="true" hidden="false" outlineLevel="0" max="10" min="10" style="1" width="6.53"/>
    <col collapsed="false" customWidth="true" hidden="false" outlineLevel="0" max="11" min="11" style="0" width="9.73"/>
    <col collapsed="false" customWidth="true" hidden="false" outlineLevel="0" max="12" min="12" style="0" width="6.72"/>
    <col collapsed="false" customWidth="true" hidden="false" outlineLevel="0" max="13" min="13" style="0" width="9.18"/>
    <col collapsed="false" customWidth="true" hidden="false" outlineLevel="0" max="14" min="14" style="0" width="9.22"/>
    <col collapsed="false" customWidth="true" hidden="false" outlineLevel="0" max="15" min="15" style="0" width="12.79"/>
    <col collapsed="false" customWidth="true" hidden="false" outlineLevel="0" max="17" min="17" style="0" width="15.58"/>
    <col collapsed="false" customWidth="true" hidden="false" outlineLevel="0" max="20" min="20" style="1" width="6.96"/>
    <col collapsed="false" customWidth="true" hidden="false" outlineLevel="0" max="30" min="30" style="2" width="7.93"/>
    <col collapsed="false" customWidth="true" hidden="false" outlineLevel="0" max="31" min="31" style="0" width="18.82"/>
    <col collapsed="false" customWidth="true" hidden="false" outlineLevel="0" max="37" min="37" style="0" width="17.15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K1" s="0" t="s">
        <v>0</v>
      </c>
      <c r="L1" s="0" t="s">
        <v>1</v>
      </c>
      <c r="M1" s="0" t="s">
        <v>2</v>
      </c>
      <c r="N1" s="0" t="s">
        <v>3</v>
      </c>
      <c r="O1" s="0" t="s">
        <v>4</v>
      </c>
      <c r="P1" s="0" t="s">
        <v>5</v>
      </c>
      <c r="Q1" s="0" t="s">
        <v>6</v>
      </c>
      <c r="R1" s="0" t="s">
        <v>7</v>
      </c>
      <c r="S1" s="0" t="s">
        <v>8</v>
      </c>
      <c r="U1" s="0" t="s">
        <v>0</v>
      </c>
      <c r="V1" s="0" t="s">
        <v>1</v>
      </c>
      <c r="W1" s="0" t="s">
        <v>2</v>
      </c>
      <c r="X1" s="0" t="s">
        <v>3</v>
      </c>
      <c r="Y1" s="0" t="s">
        <v>4</v>
      </c>
      <c r="Z1" s="0" t="s">
        <v>5</v>
      </c>
      <c r="AA1" s="0" t="s">
        <v>6</v>
      </c>
      <c r="AB1" s="0" t="s">
        <v>7</v>
      </c>
      <c r="AC1" s="0" t="s">
        <v>8</v>
      </c>
      <c r="AE1" s="0" t="s">
        <v>9</v>
      </c>
      <c r="AF1" s="0" t="s">
        <v>3</v>
      </c>
      <c r="AG1" s="0" t="s">
        <v>10</v>
      </c>
      <c r="AH1" s="0" t="s">
        <v>11</v>
      </c>
      <c r="AI1" s="0" t="s">
        <v>12</v>
      </c>
      <c r="AK1" s="0" t="s">
        <v>13</v>
      </c>
      <c r="AL1" s="0" t="s">
        <v>0</v>
      </c>
      <c r="AM1" s="0" t="s">
        <v>14</v>
      </c>
      <c r="AN1" s="0" t="s">
        <v>15</v>
      </c>
    </row>
    <row r="2" customFormat="false" ht="12.8" hidden="false" customHeight="false" outlineLevel="0" collapsed="false">
      <c r="A2" s="0" t="s">
        <v>10</v>
      </c>
      <c r="B2" s="0" t="n">
        <v>1</v>
      </c>
      <c r="C2" s="0" t="n">
        <v>100</v>
      </c>
      <c r="D2" s="0" t="n">
        <v>10</v>
      </c>
      <c r="E2" s="0" t="n">
        <v>1.751</v>
      </c>
      <c r="F2" s="3" t="n">
        <f aca="false">D2/E2</f>
        <v>5.71102227298687</v>
      </c>
      <c r="G2" s="0" t="n">
        <v>1.594</v>
      </c>
      <c r="H2" s="0" t="n">
        <v>0.001661</v>
      </c>
      <c r="I2" s="0" t="n">
        <v>0.000537</v>
      </c>
      <c r="K2" s="0" t="s">
        <v>10</v>
      </c>
      <c r="L2" s="0" t="n">
        <v>1</v>
      </c>
      <c r="M2" s="0" t="n">
        <v>100</v>
      </c>
      <c r="N2" s="0" t="n">
        <v>10</v>
      </c>
      <c r="O2" s="4" t="n">
        <f aca="false">(E2+E19+E36)/3</f>
        <v>1.515</v>
      </c>
      <c r="P2" s="3" t="n">
        <f aca="false">(N2/O2)</f>
        <v>6.6006600660066</v>
      </c>
      <c r="Q2" s="4" t="n">
        <f aca="false">(G2+G19+G36)/3</f>
        <v>1.36133333333333</v>
      </c>
      <c r="R2" s="5" t="n">
        <f aca="false">(H2+H19+H36)/3</f>
        <v>0.001661</v>
      </c>
      <c r="S2" s="5" t="n">
        <f aca="false">(I2+I19+I36)/3</f>
        <v>0.000538</v>
      </c>
      <c r="U2" s="0" t="s">
        <v>10</v>
      </c>
      <c r="V2" s="0" t="n">
        <v>1</v>
      </c>
      <c r="W2" s="0" t="n">
        <v>100</v>
      </c>
      <c r="X2" s="0" t="n">
        <v>10</v>
      </c>
      <c r="Y2" s="4" t="n">
        <v>1.515</v>
      </c>
      <c r="Z2" s="3" t="n">
        <v>6.6006600660066</v>
      </c>
      <c r="AA2" s="4" t="n">
        <v>1.36133333333333</v>
      </c>
      <c r="AB2" s="5" t="n">
        <v>0.001661</v>
      </c>
      <c r="AC2" s="5" t="n">
        <v>0.000538</v>
      </c>
      <c r="AF2" s="0" t="n">
        <v>10</v>
      </c>
      <c r="AG2" s="4" t="n">
        <v>1.515</v>
      </c>
      <c r="AH2" s="4" t="n">
        <v>1.15966666666667</v>
      </c>
      <c r="AI2" s="4" t="n">
        <v>0.685666666666667</v>
      </c>
      <c r="AL2" s="0" t="s">
        <v>10</v>
      </c>
      <c r="AM2" s="3" t="n">
        <f aca="false">AVERAGE(Z2:Z12)</f>
        <v>22.9298048344828</v>
      </c>
      <c r="AN2" s="3" t="n">
        <f aca="false">AVERAGE(Z53:Z66)</f>
        <v>67.5448071241925</v>
      </c>
    </row>
    <row r="3" customFormat="false" ht="12.8" hidden="false" customHeight="false" outlineLevel="0" collapsed="false">
      <c r="A3" s="0" t="s">
        <v>10</v>
      </c>
      <c r="B3" s="0" t="n">
        <v>1</v>
      </c>
      <c r="C3" s="0" t="n">
        <v>100</v>
      </c>
      <c r="D3" s="0" t="n">
        <v>15</v>
      </c>
      <c r="E3" s="0" t="n">
        <v>0.942</v>
      </c>
      <c r="F3" s="3" t="n">
        <f aca="false">D3/E3</f>
        <v>15.9235668789809</v>
      </c>
      <c r="G3" s="0" t="n">
        <v>0.752</v>
      </c>
      <c r="H3" s="0" t="n">
        <v>0.00244</v>
      </c>
      <c r="I3" s="0" t="n">
        <v>0.000778</v>
      </c>
      <c r="K3" s="0" t="s">
        <v>10</v>
      </c>
      <c r="L3" s="0" t="n">
        <v>1</v>
      </c>
      <c r="M3" s="0" t="n">
        <v>100</v>
      </c>
      <c r="N3" s="0" t="n">
        <v>15</v>
      </c>
      <c r="O3" s="4" t="n">
        <f aca="false">(E3+E20+E37)/3</f>
        <v>0.947333333333333</v>
      </c>
      <c r="P3" s="3" t="n">
        <f aca="false">(N3/O3)</f>
        <v>15.8339197748065</v>
      </c>
      <c r="Q3" s="4" t="n">
        <f aca="false">(G3+G20+G37)/3</f>
        <v>0.766333333333333</v>
      </c>
      <c r="R3" s="5" t="n">
        <f aca="false">(H3+H20+H37)/3</f>
        <v>0.00244</v>
      </c>
      <c r="S3" s="5" t="n">
        <f aca="false">(I3+I20+I37)/3</f>
        <v>0.000778</v>
      </c>
      <c r="U3" s="0" t="s">
        <v>10</v>
      </c>
      <c r="V3" s="0" t="n">
        <v>1</v>
      </c>
      <c r="W3" s="0" t="n">
        <v>100</v>
      </c>
      <c r="X3" s="0" t="n">
        <v>15</v>
      </c>
      <c r="Y3" s="4" t="n">
        <v>0.947333333333333</v>
      </c>
      <c r="Z3" s="3" t="n">
        <v>15.8339197748065</v>
      </c>
      <c r="AA3" s="4" t="n">
        <v>0.766333333333333</v>
      </c>
      <c r="AB3" s="5" t="n">
        <v>0.00244</v>
      </c>
      <c r="AC3" s="5" t="n">
        <v>0.000778</v>
      </c>
      <c r="AF3" s="0" t="n">
        <v>15</v>
      </c>
      <c r="AG3" s="4" t="n">
        <v>0.947333333333333</v>
      </c>
      <c r="AH3" s="4" t="n">
        <v>0.945</v>
      </c>
      <c r="AI3" s="4" t="n">
        <v>0.935333333333333</v>
      </c>
      <c r="AL3" s="0" t="s">
        <v>11</v>
      </c>
      <c r="AM3" s="3" t="n">
        <f aca="false">AVERAGE(Z19:Z34)</f>
        <v>99.4542232479072</v>
      </c>
      <c r="AN3" s="3" t="n">
        <f aca="false">AVERAGE(Z70:Z85)</f>
        <v>117.739786230025</v>
      </c>
    </row>
    <row r="4" customFormat="false" ht="12.8" hidden="false" customHeight="false" outlineLevel="0" collapsed="false">
      <c r="A4" s="0" t="s">
        <v>10</v>
      </c>
      <c r="B4" s="0" t="n">
        <v>1</v>
      </c>
      <c r="C4" s="0" t="n">
        <v>100</v>
      </c>
      <c r="D4" s="0" t="n">
        <v>20</v>
      </c>
      <c r="E4" s="0" t="n">
        <v>1.075</v>
      </c>
      <c r="F4" s="3" t="n">
        <f aca="false">D4/E4</f>
        <v>18.6046511627907</v>
      </c>
      <c r="G4" s="0" t="n">
        <v>0.905</v>
      </c>
      <c r="H4" s="0" t="n">
        <v>0.003253</v>
      </c>
      <c r="I4" s="0" t="n">
        <v>0.001034</v>
      </c>
      <c r="K4" s="0" t="s">
        <v>10</v>
      </c>
      <c r="L4" s="0" t="n">
        <v>1</v>
      </c>
      <c r="M4" s="0" t="n">
        <v>100</v>
      </c>
      <c r="N4" s="0" t="n">
        <v>20</v>
      </c>
      <c r="O4" s="4" t="n">
        <f aca="false">(E4+E21+E38)/3</f>
        <v>1.09866666666667</v>
      </c>
      <c r="P4" s="3" t="n">
        <f aca="false">(N4/O4)</f>
        <v>18.2038834951456</v>
      </c>
      <c r="Q4" s="4" t="n">
        <f aca="false">(G4+G21+G38)/3</f>
        <v>0.924</v>
      </c>
      <c r="R4" s="5" t="n">
        <f aca="false">(H4+H21+H38)/3</f>
        <v>0.003253</v>
      </c>
      <c r="S4" s="5" t="n">
        <f aca="false">(I4+I21+I38)/3</f>
        <v>0.00103933333333333</v>
      </c>
      <c r="U4" s="0" t="s">
        <v>10</v>
      </c>
      <c r="V4" s="0" t="n">
        <v>1</v>
      </c>
      <c r="W4" s="0" t="n">
        <v>100</v>
      </c>
      <c r="X4" s="0" t="n">
        <v>20</v>
      </c>
      <c r="Y4" s="4" t="n">
        <v>1.09866666666667</v>
      </c>
      <c r="Z4" s="3" t="n">
        <v>18.2038834951456</v>
      </c>
      <c r="AA4" s="4" t="n">
        <v>0.924</v>
      </c>
      <c r="AB4" s="5" t="n">
        <v>0.003253</v>
      </c>
      <c r="AC4" s="5" t="n">
        <v>0.00103933333333333</v>
      </c>
      <c r="AF4" s="0" t="n">
        <v>20</v>
      </c>
      <c r="AG4" s="4" t="n">
        <v>1.09866666666667</v>
      </c>
      <c r="AH4" s="4" t="n">
        <v>0.929333333333333</v>
      </c>
      <c r="AI4" s="4" t="n">
        <v>0.916333333333333</v>
      </c>
      <c r="AL4" s="0" t="s">
        <v>12</v>
      </c>
      <c r="AM4" s="3" t="n">
        <f aca="false">AVERAGE(Z36:Z51)</f>
        <v>108.244402555088</v>
      </c>
      <c r="AN4" s="3" t="n">
        <f aca="false">AVERAGE(Z87:Z102)</f>
        <v>324.733207665263</v>
      </c>
    </row>
    <row r="5" customFormat="false" ht="12.8" hidden="false" customHeight="false" outlineLevel="0" collapsed="false">
      <c r="A5" s="0" t="s">
        <v>10</v>
      </c>
      <c r="B5" s="0" t="n">
        <v>1</v>
      </c>
      <c r="C5" s="0" t="n">
        <v>100</v>
      </c>
      <c r="D5" s="0" t="n">
        <v>25</v>
      </c>
      <c r="E5" s="0" t="n">
        <v>1.156</v>
      </c>
      <c r="F5" s="3" t="n">
        <f aca="false">D5/E5</f>
        <v>21.6262975778547</v>
      </c>
      <c r="G5" s="0" t="n">
        <v>0.977</v>
      </c>
      <c r="H5" s="0" t="n">
        <v>0.004067</v>
      </c>
      <c r="I5" s="0" t="n">
        <v>0.001306</v>
      </c>
      <c r="K5" s="0" t="s">
        <v>10</v>
      </c>
      <c r="L5" s="0" t="n">
        <v>1</v>
      </c>
      <c r="M5" s="0" t="n">
        <v>100</v>
      </c>
      <c r="N5" s="0" t="n">
        <v>25</v>
      </c>
      <c r="O5" s="4" t="n">
        <f aca="false">(E5+E22+E39)/3</f>
        <v>1.22133333333333</v>
      </c>
      <c r="P5" s="3" t="n">
        <f aca="false">(N5/O5)</f>
        <v>20.4694323144105</v>
      </c>
      <c r="Q5" s="4" t="n">
        <f aca="false">(G5+G22+G39)/3</f>
        <v>1.037</v>
      </c>
      <c r="R5" s="5" t="n">
        <f aca="false">(H5+H22+H39)/3</f>
        <v>0.004067</v>
      </c>
      <c r="S5" s="5" t="n">
        <f aca="false">(I5+I22+I39)/3</f>
        <v>0.00130166666666667</v>
      </c>
      <c r="U5" s="0" t="s">
        <v>10</v>
      </c>
      <c r="V5" s="0" t="n">
        <v>1</v>
      </c>
      <c r="W5" s="0" t="n">
        <v>100</v>
      </c>
      <c r="X5" s="0" t="n">
        <v>25</v>
      </c>
      <c r="Y5" s="4" t="n">
        <v>1.22133333333333</v>
      </c>
      <c r="Z5" s="3" t="n">
        <v>20.4694323144105</v>
      </c>
      <c r="AA5" s="4" t="n">
        <v>1.037</v>
      </c>
      <c r="AB5" s="5" t="n">
        <v>0.004067</v>
      </c>
      <c r="AC5" s="5" t="n">
        <v>0.00130166666666667</v>
      </c>
      <c r="AF5" s="0" t="n">
        <v>25</v>
      </c>
      <c r="AG5" s="4" t="n">
        <v>1.22133333333333</v>
      </c>
      <c r="AH5" s="4" t="n">
        <v>0.913666666666667</v>
      </c>
      <c r="AI5" s="4" t="n">
        <v>0.869</v>
      </c>
    </row>
    <row r="6" customFormat="false" ht="12.8" hidden="false" customHeight="false" outlineLevel="0" collapsed="false">
      <c r="A6" s="0" t="s">
        <v>10</v>
      </c>
      <c r="B6" s="0" t="n">
        <v>1</v>
      </c>
      <c r="C6" s="0" t="n">
        <v>100</v>
      </c>
      <c r="D6" s="0" t="n">
        <v>50</v>
      </c>
      <c r="E6" s="0" t="n">
        <v>1.931</v>
      </c>
      <c r="F6" s="3" t="n">
        <f aca="false">D6/E6</f>
        <v>25.8933195235629</v>
      </c>
      <c r="G6" s="0" t="n">
        <v>1.733</v>
      </c>
      <c r="H6" s="0" t="n">
        <v>0.008133</v>
      </c>
      <c r="I6" s="0" t="n">
        <v>0.002599</v>
      </c>
      <c r="K6" s="0" t="s">
        <v>10</v>
      </c>
      <c r="L6" s="0" t="n">
        <v>1</v>
      </c>
      <c r="M6" s="0" t="n">
        <v>100</v>
      </c>
      <c r="N6" s="0" t="n">
        <v>50</v>
      </c>
      <c r="O6" s="4" t="n">
        <f aca="false">(E6+E23+E40)/3</f>
        <v>1.965</v>
      </c>
      <c r="P6" s="3" t="n">
        <f aca="false">(N6/O6)</f>
        <v>25.4452926208651</v>
      </c>
      <c r="Q6" s="4" t="n">
        <f aca="false">(G6+G23+G40)/3</f>
        <v>1.76733333333333</v>
      </c>
      <c r="R6" s="5" t="n">
        <f aca="false">(H6+H23+H40)/3</f>
        <v>0.008133</v>
      </c>
      <c r="S6" s="5" t="n">
        <f aca="false">(I6+I23+I40)/3</f>
        <v>0.00260733333333333</v>
      </c>
      <c r="U6" s="0" t="s">
        <v>10</v>
      </c>
      <c r="V6" s="0" t="n">
        <v>1</v>
      </c>
      <c r="W6" s="0" t="n">
        <v>100</v>
      </c>
      <c r="X6" s="0" t="n">
        <v>50</v>
      </c>
      <c r="Y6" s="4" t="n">
        <v>1.965</v>
      </c>
      <c r="Z6" s="3" t="n">
        <v>25.4452926208651</v>
      </c>
      <c r="AA6" s="4" t="n">
        <v>1.76733333333333</v>
      </c>
      <c r="AB6" s="5" t="n">
        <v>0.008133</v>
      </c>
      <c r="AC6" s="5" t="n">
        <v>0.00260733333333333</v>
      </c>
      <c r="AF6" s="0" t="n">
        <v>50</v>
      </c>
      <c r="AG6" s="4" t="n">
        <v>1.965</v>
      </c>
      <c r="AH6" s="4" t="n">
        <v>0.948</v>
      </c>
      <c r="AI6" s="4" t="n">
        <v>0.913666666666667</v>
      </c>
    </row>
    <row r="7" customFormat="false" ht="12.8" hidden="false" customHeight="false" outlineLevel="0" collapsed="false">
      <c r="A7" s="0" t="s">
        <v>10</v>
      </c>
      <c r="B7" s="0" t="n">
        <v>1</v>
      </c>
      <c r="C7" s="0" t="n">
        <v>100</v>
      </c>
      <c r="D7" s="0" t="n">
        <v>75</v>
      </c>
      <c r="E7" s="0" t="n">
        <v>3.709</v>
      </c>
      <c r="F7" s="3" t="n">
        <f aca="false">D7/E7</f>
        <v>20.2210838500944</v>
      </c>
      <c r="G7" s="0" t="n">
        <v>3.522</v>
      </c>
      <c r="H7" s="0" t="n">
        <v>0.0122</v>
      </c>
      <c r="I7" s="0" t="n">
        <v>0.003896</v>
      </c>
      <c r="K7" s="0" t="s">
        <v>10</v>
      </c>
      <c r="L7" s="0" t="n">
        <v>1</v>
      </c>
      <c r="M7" s="0" t="n">
        <v>100</v>
      </c>
      <c r="N7" s="0" t="n">
        <v>75</v>
      </c>
      <c r="O7" s="4" t="n">
        <f aca="false">(E7+E24+E41)/3</f>
        <v>3.36933333333333</v>
      </c>
      <c r="P7" s="3" t="n">
        <f aca="false">(N7/O7)</f>
        <v>22.2595963593194</v>
      </c>
      <c r="Q7" s="4" t="n">
        <f aca="false">(G7+G24+G41)/3</f>
        <v>3.159</v>
      </c>
      <c r="R7" s="5" t="n">
        <f aca="false">(H7+H24+H41)/3</f>
        <v>0.0122</v>
      </c>
      <c r="S7" s="5" t="n">
        <f aca="false">(I7+I24+I41)/3</f>
        <v>0.003896</v>
      </c>
      <c r="U7" s="0" t="s">
        <v>10</v>
      </c>
      <c r="V7" s="0" t="n">
        <v>1</v>
      </c>
      <c r="W7" s="0" t="n">
        <v>100</v>
      </c>
      <c r="X7" s="0" t="n">
        <v>75</v>
      </c>
      <c r="Y7" s="4" t="n">
        <v>3.36933333333333</v>
      </c>
      <c r="Z7" s="3" t="n">
        <v>22.2595963593194</v>
      </c>
      <c r="AA7" s="4" t="n">
        <v>3.159</v>
      </c>
      <c r="AB7" s="5" t="n">
        <v>0.0122</v>
      </c>
      <c r="AC7" s="5" t="n">
        <v>0.003896</v>
      </c>
      <c r="AF7" s="0" t="n">
        <v>75</v>
      </c>
      <c r="AG7" s="4" t="n">
        <v>3.36933333333333</v>
      </c>
      <c r="AH7" s="4" t="n">
        <v>1.50066666666667</v>
      </c>
      <c r="AI7" s="4" t="n">
        <v>0.833666666666667</v>
      </c>
      <c r="AK7" s="0" t="s">
        <v>16</v>
      </c>
      <c r="AL7" s="0" t="s">
        <v>3</v>
      </c>
      <c r="AM7" s="0" t="s">
        <v>10</v>
      </c>
      <c r="AN7" s="0" t="s">
        <v>11</v>
      </c>
      <c r="AO7" s="0" t="s">
        <v>12</v>
      </c>
      <c r="AP7" s="0" t="s">
        <v>17</v>
      </c>
      <c r="AQ7" s="0" t="s">
        <v>18</v>
      </c>
      <c r="AR7" s="0" t="s">
        <v>19</v>
      </c>
    </row>
    <row r="8" customFormat="false" ht="12.8" hidden="false" customHeight="false" outlineLevel="0" collapsed="false">
      <c r="A8" s="0" t="s">
        <v>10</v>
      </c>
      <c r="B8" s="0" t="n">
        <v>1</v>
      </c>
      <c r="C8" s="0" t="n">
        <v>100</v>
      </c>
      <c r="D8" s="0" t="n">
        <v>100</v>
      </c>
      <c r="E8" s="0" t="n">
        <v>4.472</v>
      </c>
      <c r="F8" s="3" t="n">
        <f aca="false">D8/E8</f>
        <v>22.3613595706619</v>
      </c>
      <c r="G8" s="0" t="n">
        <v>4.231</v>
      </c>
      <c r="H8" s="0" t="n">
        <v>0.016267</v>
      </c>
      <c r="I8" s="0" t="n">
        <v>0.005211</v>
      </c>
      <c r="K8" s="0" t="s">
        <v>10</v>
      </c>
      <c r="L8" s="0" t="n">
        <v>1</v>
      </c>
      <c r="M8" s="0" t="n">
        <v>100</v>
      </c>
      <c r="N8" s="0" t="n">
        <v>100</v>
      </c>
      <c r="O8" s="4" t="n">
        <f aca="false">(E8+E25+E42)/3</f>
        <v>4.43466666666667</v>
      </c>
      <c r="P8" s="3" t="n">
        <f aca="false">(N8/O8)</f>
        <v>22.5496091401082</v>
      </c>
      <c r="Q8" s="4" t="n">
        <f aca="false">(G8+G25+G42)/3</f>
        <v>4.20833333333333</v>
      </c>
      <c r="R8" s="5" t="n">
        <f aca="false">(H8+H25+H42)/3</f>
        <v>0.0162666666666667</v>
      </c>
      <c r="S8" s="5" t="n">
        <f aca="false">(I8+I25+I42)/3</f>
        <v>0.0052</v>
      </c>
      <c r="U8" s="0" t="s">
        <v>10</v>
      </c>
      <c r="V8" s="0" t="n">
        <v>1</v>
      </c>
      <c r="W8" s="0" t="n">
        <v>100</v>
      </c>
      <c r="X8" s="0" t="n">
        <v>100</v>
      </c>
      <c r="Y8" s="4" t="n">
        <v>4.43466666666667</v>
      </c>
      <c r="Z8" s="3" t="n">
        <v>22.5496091401082</v>
      </c>
      <c r="AA8" s="4" t="n">
        <v>4.20833333333333</v>
      </c>
      <c r="AB8" s="5" t="n">
        <v>0.0162666666666667</v>
      </c>
      <c r="AC8" s="5" t="n">
        <v>0.0052</v>
      </c>
      <c r="AF8" s="0" t="n">
        <v>100</v>
      </c>
      <c r="AG8" s="4" t="n">
        <v>4.43466666666667</v>
      </c>
      <c r="AH8" s="4" t="n">
        <v>1.802</v>
      </c>
      <c r="AI8" s="4" t="n">
        <v>1.26</v>
      </c>
      <c r="AL8" s="0" t="n">
        <v>10</v>
      </c>
      <c r="AM8" s="5" t="n">
        <v>0.001661</v>
      </c>
      <c r="AN8" s="5" t="n">
        <v>0.001661</v>
      </c>
      <c r="AO8" s="5" t="n">
        <v>0.001661</v>
      </c>
      <c r="AP8" s="5" t="n">
        <v>0.001661</v>
      </c>
      <c r="AQ8" s="5" t="n">
        <v>0.001661</v>
      </c>
      <c r="AR8" s="5" t="n">
        <v>0.001661</v>
      </c>
    </row>
    <row r="9" customFormat="false" ht="12.8" hidden="false" customHeight="false" outlineLevel="0" collapsed="false">
      <c r="A9" s="0" t="s">
        <v>10</v>
      </c>
      <c r="B9" s="0" t="n">
        <v>1</v>
      </c>
      <c r="C9" s="0" t="n">
        <v>100</v>
      </c>
      <c r="D9" s="0" t="n">
        <v>150</v>
      </c>
      <c r="E9" s="0" t="n">
        <v>6.075</v>
      </c>
      <c r="F9" s="3" t="n">
        <f aca="false">D9/E9</f>
        <v>24.6913580246914</v>
      </c>
      <c r="G9" s="0" t="n">
        <v>5.64</v>
      </c>
      <c r="H9" s="0" t="n">
        <v>0.0244</v>
      </c>
      <c r="I9" s="0" t="n">
        <v>0.007801</v>
      </c>
      <c r="K9" s="0" t="s">
        <v>10</v>
      </c>
      <c r="L9" s="0" t="n">
        <v>1</v>
      </c>
      <c r="M9" s="0" t="n">
        <v>100</v>
      </c>
      <c r="N9" s="0" t="n">
        <v>150</v>
      </c>
      <c r="O9" s="4" t="n">
        <f aca="false">(E9+E26+E43)/3</f>
        <v>6.038</v>
      </c>
      <c r="P9" s="3" t="n">
        <f aca="false">(N9/O9)</f>
        <v>24.8426631334879</v>
      </c>
      <c r="Q9" s="4" t="n">
        <f aca="false">(G9+G26+G43)/3</f>
        <v>5.58266666666667</v>
      </c>
      <c r="R9" s="5" t="n">
        <f aca="false">(H9+H26+H43)/3</f>
        <v>0.0244</v>
      </c>
      <c r="S9" s="5" t="n">
        <f aca="false">(I9+I26+I43)/3</f>
        <v>0.007807</v>
      </c>
      <c r="U9" s="0" t="s">
        <v>10</v>
      </c>
      <c r="V9" s="0" t="n">
        <v>1</v>
      </c>
      <c r="W9" s="0" t="n">
        <v>100</v>
      </c>
      <c r="X9" s="0" t="n">
        <v>150</v>
      </c>
      <c r="Y9" s="4" t="n">
        <v>6.038</v>
      </c>
      <c r="Z9" s="3" t="n">
        <v>24.8426631334879</v>
      </c>
      <c r="AA9" s="4" t="n">
        <v>5.58266666666667</v>
      </c>
      <c r="AB9" s="5" t="n">
        <v>0.0244</v>
      </c>
      <c r="AC9" s="5" t="n">
        <v>0.007807</v>
      </c>
      <c r="AF9" s="0" t="n">
        <v>150</v>
      </c>
      <c r="AG9" s="4" t="n">
        <v>6.038</v>
      </c>
      <c r="AH9" s="4" t="n">
        <v>1.732</v>
      </c>
      <c r="AI9" s="4" t="n">
        <v>1.68966666666667</v>
      </c>
      <c r="AL9" s="0" t="n">
        <v>15</v>
      </c>
      <c r="AM9" s="5" t="n">
        <v>0.00244</v>
      </c>
      <c r="AN9" s="5" t="n">
        <v>0.00244</v>
      </c>
      <c r="AO9" s="5" t="n">
        <v>0.00244</v>
      </c>
      <c r="AP9" s="5" t="n">
        <v>0.00244</v>
      </c>
      <c r="AQ9" s="5" t="n">
        <v>0.00244</v>
      </c>
      <c r="AR9" s="5" t="n">
        <v>0.00244</v>
      </c>
    </row>
    <row r="10" customFormat="false" ht="12.8" hidden="false" customHeight="false" outlineLevel="0" collapsed="false">
      <c r="A10" s="0" t="s">
        <v>10</v>
      </c>
      <c r="B10" s="0" t="n">
        <v>1</v>
      </c>
      <c r="C10" s="0" t="n">
        <v>100</v>
      </c>
      <c r="D10" s="0" t="n">
        <v>200</v>
      </c>
      <c r="E10" s="0" t="n">
        <v>7.402</v>
      </c>
      <c r="F10" s="3" t="n">
        <f aca="false">D10/E10</f>
        <v>27.0197243988111</v>
      </c>
      <c r="G10" s="0" t="n">
        <v>6.967</v>
      </c>
      <c r="H10" s="0" t="n">
        <v>0.032533</v>
      </c>
      <c r="I10" s="0" t="n">
        <v>0.010386</v>
      </c>
      <c r="K10" s="0" t="s">
        <v>10</v>
      </c>
      <c r="L10" s="0" t="n">
        <v>1</v>
      </c>
      <c r="M10" s="0" t="n">
        <v>100</v>
      </c>
      <c r="N10" s="0" t="n">
        <v>200</v>
      </c>
      <c r="O10" s="4" t="n">
        <f aca="false">(E10+E27+E44)/3</f>
        <v>7.46133333333333</v>
      </c>
      <c r="P10" s="3" t="n">
        <f aca="false">(N10/O10)</f>
        <v>26.8048606147248</v>
      </c>
      <c r="Q10" s="4" t="n">
        <f aca="false">(G10+G27+G44)/3</f>
        <v>6.99033333333333</v>
      </c>
      <c r="R10" s="5" t="n">
        <f aca="false">(H10+H27+H44)/3</f>
        <v>0.032533</v>
      </c>
      <c r="S10" s="5" t="n">
        <f aca="false">(I10+I27+I44)/3</f>
        <v>0.0103973333333333</v>
      </c>
      <c r="U10" s="0" t="s">
        <v>10</v>
      </c>
      <c r="V10" s="0" t="n">
        <v>1</v>
      </c>
      <c r="W10" s="0" t="n">
        <v>100</v>
      </c>
      <c r="X10" s="0" t="n">
        <v>200</v>
      </c>
      <c r="Y10" s="4" t="n">
        <v>7.46133333333333</v>
      </c>
      <c r="Z10" s="3" t="n">
        <v>26.8048606147248</v>
      </c>
      <c r="AA10" s="4" t="n">
        <v>6.99033333333333</v>
      </c>
      <c r="AB10" s="5" t="n">
        <v>0.032533</v>
      </c>
      <c r="AC10" s="5" t="n">
        <v>0.0103973333333333</v>
      </c>
      <c r="AF10" s="0" t="n">
        <v>200</v>
      </c>
      <c r="AG10" s="4" t="n">
        <v>7.46133333333333</v>
      </c>
      <c r="AH10" s="4" t="n">
        <v>1.59733333333333</v>
      </c>
      <c r="AI10" s="4" t="n">
        <v>2.00033333333333</v>
      </c>
      <c r="AL10" s="0" t="n">
        <v>20</v>
      </c>
      <c r="AM10" s="5" t="n">
        <v>0.003253</v>
      </c>
      <c r="AN10" s="5" t="n">
        <v>0.003253</v>
      </c>
      <c r="AO10" s="5" t="n">
        <v>0.003253</v>
      </c>
      <c r="AP10" s="5" t="n">
        <v>0.003253</v>
      </c>
      <c r="AQ10" s="5" t="n">
        <v>0.003253</v>
      </c>
      <c r="AR10" s="5" t="n">
        <v>0.003253</v>
      </c>
    </row>
    <row r="11" customFormat="false" ht="12.8" hidden="false" customHeight="false" outlineLevel="0" collapsed="false">
      <c r="A11" s="0" t="s">
        <v>10</v>
      </c>
      <c r="B11" s="0" t="n">
        <v>1</v>
      </c>
      <c r="C11" s="0" t="n">
        <v>100</v>
      </c>
      <c r="D11" s="0" t="n">
        <v>250</v>
      </c>
      <c r="E11" s="0" t="n">
        <v>9.86</v>
      </c>
      <c r="F11" s="3" t="n">
        <f aca="false">D11/E11</f>
        <v>25.3549695740365</v>
      </c>
      <c r="G11" s="0" t="n">
        <v>9.205</v>
      </c>
      <c r="H11" s="0" t="n">
        <v>0.040666</v>
      </c>
      <c r="I11" s="0" t="n">
        <v>0.013013</v>
      </c>
      <c r="K11" s="0" t="s">
        <v>10</v>
      </c>
      <c r="L11" s="0" t="n">
        <v>1</v>
      </c>
      <c r="M11" s="0" t="n">
        <v>100</v>
      </c>
      <c r="N11" s="0" t="n">
        <v>250</v>
      </c>
      <c r="O11" s="4" t="n">
        <f aca="false">(E11+E28+E45)/3</f>
        <v>9.56733333333333</v>
      </c>
      <c r="P11" s="3" t="n">
        <f aca="false">(N11/O11)</f>
        <v>26.1305832346178</v>
      </c>
      <c r="Q11" s="4" t="n">
        <f aca="false">(G11+G28+G45)/3</f>
        <v>8.94433333333333</v>
      </c>
      <c r="R11" s="5" t="n">
        <f aca="false">(H11+H28+H45)/3</f>
        <v>0.040666</v>
      </c>
      <c r="S11" s="5" t="n">
        <f aca="false">(I11+I28+I45)/3</f>
        <v>0.0130056666666667</v>
      </c>
      <c r="U11" s="0" t="s">
        <v>10</v>
      </c>
      <c r="V11" s="0" t="n">
        <v>1</v>
      </c>
      <c r="W11" s="0" t="n">
        <v>100</v>
      </c>
      <c r="X11" s="0" t="n">
        <v>250</v>
      </c>
      <c r="Y11" s="4" t="n">
        <v>9.56733333333333</v>
      </c>
      <c r="Z11" s="3" t="n">
        <v>26.1305832346178</v>
      </c>
      <c r="AA11" s="4" t="n">
        <v>8.94433333333333</v>
      </c>
      <c r="AB11" s="5" t="n">
        <v>0.040666</v>
      </c>
      <c r="AC11" s="5" t="n">
        <v>0.0130056666666667</v>
      </c>
      <c r="AF11" s="0" t="n">
        <v>250</v>
      </c>
      <c r="AG11" s="4" t="n">
        <v>9.56733333333333</v>
      </c>
      <c r="AH11" s="4" t="n">
        <v>2.426</v>
      </c>
      <c r="AI11" s="4" t="n">
        <v>1.765</v>
      </c>
      <c r="AL11" s="0" t="n">
        <v>25</v>
      </c>
      <c r="AM11" s="5" t="n">
        <v>0.004067</v>
      </c>
      <c r="AN11" s="5" t="n">
        <v>0.004067</v>
      </c>
      <c r="AO11" s="5" t="n">
        <v>0.004067</v>
      </c>
      <c r="AP11" s="5" t="n">
        <v>0.004067</v>
      </c>
      <c r="AQ11" s="5" t="n">
        <v>0.004067</v>
      </c>
      <c r="AR11" s="5" t="n">
        <v>0.004067</v>
      </c>
    </row>
    <row r="12" customFormat="false" ht="12.8" hidden="false" customHeight="false" outlineLevel="0" collapsed="false">
      <c r="A12" s="0" t="s">
        <v>10</v>
      </c>
      <c r="B12" s="0" t="n">
        <v>1</v>
      </c>
      <c r="C12" s="0" t="n">
        <v>60</v>
      </c>
      <c r="D12" s="0" t="n">
        <v>500</v>
      </c>
      <c r="E12" s="0" t="n">
        <v>12.09</v>
      </c>
      <c r="F12" s="3" t="n">
        <f aca="false">D12/E12</f>
        <v>41.3564929693962</v>
      </c>
      <c r="G12" s="0" t="n">
        <v>10.937</v>
      </c>
      <c r="H12" s="0" t="n">
        <v>0.081333</v>
      </c>
      <c r="I12" s="0" t="n">
        <v>0.015502</v>
      </c>
      <c r="K12" s="0" t="s">
        <v>10</v>
      </c>
      <c r="L12" s="0" t="n">
        <v>1</v>
      </c>
      <c r="M12" s="0" t="n">
        <v>60</v>
      </c>
      <c r="N12" s="0" t="n">
        <v>500</v>
      </c>
      <c r="O12" s="4" t="n">
        <f aca="false">(E12+E29+E46)/3</f>
        <v>11.6043333333333</v>
      </c>
      <c r="P12" s="3" t="n">
        <f aca="false">(N12/O12)</f>
        <v>43.0873524258179</v>
      </c>
      <c r="Q12" s="4" t="n">
        <f aca="false">(G12+G29+G46)/3</f>
        <v>10.5423333333333</v>
      </c>
      <c r="R12" s="5" t="n">
        <f aca="false">(H12+H29+H46)/3</f>
        <v>0.081333</v>
      </c>
      <c r="S12" s="5" t="n">
        <f aca="false">(I12+I29+I46)/3</f>
        <v>0.0155016666666667</v>
      </c>
      <c r="U12" s="0" t="s">
        <v>10</v>
      </c>
      <c r="V12" s="0" t="n">
        <v>1</v>
      </c>
      <c r="W12" s="0" t="n">
        <v>60</v>
      </c>
      <c r="X12" s="0" t="n">
        <v>500</v>
      </c>
      <c r="Y12" s="4" t="n">
        <v>11.6043333333333</v>
      </c>
      <c r="Z12" s="3" t="n">
        <v>43.0873524258179</v>
      </c>
      <c r="AA12" s="4" t="n">
        <v>10.5423333333333</v>
      </c>
      <c r="AB12" s="5" t="n">
        <v>0.081333</v>
      </c>
      <c r="AC12" s="5" t="n">
        <v>0.0155016666666667</v>
      </c>
      <c r="AF12" s="0" t="n">
        <v>500</v>
      </c>
      <c r="AG12" s="4" t="n">
        <v>11.6043333333333</v>
      </c>
      <c r="AH12" s="4" t="n">
        <v>3.12433333333333</v>
      </c>
      <c r="AI12" s="4" t="n">
        <v>2.95033333333333</v>
      </c>
      <c r="AL12" s="0" t="n">
        <v>50</v>
      </c>
      <c r="AM12" s="5" t="n">
        <v>0.008133</v>
      </c>
      <c r="AN12" s="5" t="n">
        <v>0.008133</v>
      </c>
      <c r="AO12" s="5" t="n">
        <v>0.008133</v>
      </c>
      <c r="AP12" s="5" t="n">
        <v>0.008133</v>
      </c>
      <c r="AQ12" s="5" t="n">
        <v>0.008133</v>
      </c>
      <c r="AR12" s="5" t="n">
        <v>0.008133</v>
      </c>
    </row>
    <row r="13" customFormat="false" ht="12.8" hidden="false" customHeight="false" outlineLevel="0" collapsed="false">
      <c r="A13" s="0" t="s">
        <v>10</v>
      </c>
      <c r="B13" s="0" t="n">
        <v>1</v>
      </c>
      <c r="C13" s="0" t="n">
        <v>0</v>
      </c>
      <c r="D13" s="0" t="n">
        <v>750</v>
      </c>
      <c r="E13" s="0" t="n">
        <v>0</v>
      </c>
      <c r="F13" s="0" t="n">
        <v>0</v>
      </c>
      <c r="G13" s="0" t="n">
        <v>0</v>
      </c>
      <c r="K13" s="0" t="s">
        <v>10</v>
      </c>
      <c r="L13" s="0" t="n">
        <v>1</v>
      </c>
      <c r="M13" s="0" t="n">
        <v>0</v>
      </c>
      <c r="N13" s="0" t="n">
        <v>750</v>
      </c>
      <c r="O13" s="4" t="n">
        <f aca="false">(E13+E30+E47)/3</f>
        <v>0</v>
      </c>
      <c r="P13" s="3" t="e">
        <f aca="false">(N13/O13)</f>
        <v>#DIV/0!</v>
      </c>
      <c r="Q13" s="4" t="n">
        <f aca="false">(G13+G30+G47)/3</f>
        <v>0</v>
      </c>
      <c r="R13" s="5" t="n">
        <f aca="false">(H13+H30+H47)/3</f>
        <v>0</v>
      </c>
      <c r="S13" s="5" t="n">
        <f aca="false">(I13+I30+I47)/3</f>
        <v>0</v>
      </c>
      <c r="U13" s="0" t="s">
        <v>10</v>
      </c>
      <c r="V13" s="0" t="n">
        <v>1</v>
      </c>
      <c r="W13" s="0" t="n">
        <v>0</v>
      </c>
      <c r="X13" s="0" t="n">
        <v>750</v>
      </c>
      <c r="Y13" s="4" t="n">
        <v>0</v>
      </c>
      <c r="Z13" s="0" t="n">
        <v>0</v>
      </c>
      <c r="AA13" s="4" t="n">
        <v>0</v>
      </c>
      <c r="AB13" s="5" t="n">
        <v>0</v>
      </c>
      <c r="AC13" s="5" t="n">
        <v>0</v>
      </c>
      <c r="AF13" s="0" t="n">
        <v>750</v>
      </c>
      <c r="AG13" s="4" t="n">
        <v>0</v>
      </c>
      <c r="AH13" s="4" t="n">
        <v>4.54433333333333</v>
      </c>
      <c r="AI13" s="4" t="n">
        <v>4.357</v>
      </c>
      <c r="AL13" s="0" t="n">
        <v>75</v>
      </c>
      <c r="AM13" s="5" t="n">
        <v>0.0122</v>
      </c>
      <c r="AN13" s="5" t="n">
        <v>0.0122</v>
      </c>
      <c r="AO13" s="5" t="n">
        <v>0.0122</v>
      </c>
      <c r="AP13" s="5" t="n">
        <v>0.0122</v>
      </c>
      <c r="AQ13" s="5" t="n">
        <v>0.0122</v>
      </c>
      <c r="AR13" s="5" t="n">
        <v>0.0122</v>
      </c>
    </row>
    <row r="14" customFormat="false" ht="12.8" hidden="false" customHeight="false" outlineLevel="0" collapsed="false">
      <c r="A14" s="0" t="s">
        <v>10</v>
      </c>
      <c r="B14" s="0" t="n">
        <v>1</v>
      </c>
      <c r="C14" s="0" t="n">
        <v>0</v>
      </c>
      <c r="D14" s="0" t="n">
        <v>1000</v>
      </c>
      <c r="E14" s="0" t="n">
        <v>0</v>
      </c>
      <c r="F14" s="0" t="n">
        <v>0</v>
      </c>
      <c r="G14" s="0" t="n">
        <v>0</v>
      </c>
      <c r="K14" s="0" t="s">
        <v>10</v>
      </c>
      <c r="L14" s="0" t="n">
        <v>1</v>
      </c>
      <c r="M14" s="0" t="n">
        <v>0</v>
      </c>
      <c r="N14" s="0" t="n">
        <v>1000</v>
      </c>
      <c r="O14" s="4" t="n">
        <f aca="false">(E14+E31+E48)/3</f>
        <v>0</v>
      </c>
      <c r="P14" s="3" t="e">
        <f aca="false">(N14/O14)</f>
        <v>#DIV/0!</v>
      </c>
      <c r="Q14" s="4" t="n">
        <f aca="false">(G14+G31+G48)/3</f>
        <v>0</v>
      </c>
      <c r="R14" s="5" t="n">
        <f aca="false">(H14+H31+H48)/3</f>
        <v>0</v>
      </c>
      <c r="S14" s="5" t="n">
        <f aca="false">(I14+I31+I48)/3</f>
        <v>0</v>
      </c>
      <c r="U14" s="0" t="s">
        <v>10</v>
      </c>
      <c r="V14" s="0" t="n">
        <v>1</v>
      </c>
      <c r="W14" s="0" t="n">
        <v>0</v>
      </c>
      <c r="X14" s="0" t="n">
        <v>1000</v>
      </c>
      <c r="Y14" s="4" t="n">
        <v>0</v>
      </c>
      <c r="Z14" s="0" t="n">
        <v>0</v>
      </c>
      <c r="AA14" s="4" t="n">
        <v>0</v>
      </c>
      <c r="AB14" s="5" t="n">
        <v>0</v>
      </c>
      <c r="AC14" s="5" t="n">
        <v>0</v>
      </c>
      <c r="AF14" s="0" t="n">
        <v>1000</v>
      </c>
      <c r="AG14" s="4" t="n">
        <v>0</v>
      </c>
      <c r="AH14" s="4" t="n">
        <v>5.911</v>
      </c>
      <c r="AI14" s="4" t="n">
        <v>5.06933333333333</v>
      </c>
      <c r="AL14" s="0" t="n">
        <v>100</v>
      </c>
      <c r="AM14" s="5" t="n">
        <v>0.0162666666666667</v>
      </c>
      <c r="AN14" s="5" t="n">
        <v>0.016267</v>
      </c>
      <c r="AO14" s="5" t="n">
        <v>0.016267</v>
      </c>
      <c r="AP14" s="5" t="n">
        <v>0.0162663333333333</v>
      </c>
      <c r="AQ14" s="5" t="n">
        <v>0.0162666666666667</v>
      </c>
      <c r="AR14" s="5" t="n">
        <v>0.0162663333333333</v>
      </c>
    </row>
    <row r="15" customFormat="false" ht="12.8" hidden="false" customHeight="false" outlineLevel="0" collapsed="false">
      <c r="A15" s="0" t="s">
        <v>10</v>
      </c>
      <c r="B15" s="0" t="n">
        <v>1</v>
      </c>
      <c r="C15" s="0" t="n">
        <v>0</v>
      </c>
      <c r="D15" s="0" t="n">
        <v>1500</v>
      </c>
      <c r="E15" s="0" t="n">
        <v>0</v>
      </c>
      <c r="F15" s="0" t="n">
        <v>0</v>
      </c>
      <c r="G15" s="0" t="n">
        <v>0</v>
      </c>
      <c r="K15" s="0" t="s">
        <v>10</v>
      </c>
      <c r="L15" s="0" t="n">
        <v>1</v>
      </c>
      <c r="M15" s="0" t="n">
        <v>0</v>
      </c>
      <c r="N15" s="0" t="n">
        <v>1500</v>
      </c>
      <c r="O15" s="4" t="n">
        <f aca="false">(E15+E32+E49)/3</f>
        <v>0</v>
      </c>
      <c r="P15" s="3" t="e">
        <f aca="false">(N15/O15)</f>
        <v>#DIV/0!</v>
      </c>
      <c r="Q15" s="4" t="n">
        <f aca="false">(G15+G32+G49)/3</f>
        <v>0</v>
      </c>
      <c r="R15" s="5" t="n">
        <f aca="false">(H15+H32+H49)/3</f>
        <v>0</v>
      </c>
      <c r="S15" s="5" t="n">
        <f aca="false">(I15+I32+I49)/3</f>
        <v>0</v>
      </c>
      <c r="U15" s="0" t="s">
        <v>10</v>
      </c>
      <c r="V15" s="0" t="n">
        <v>1</v>
      </c>
      <c r="W15" s="0" t="n">
        <v>0</v>
      </c>
      <c r="X15" s="0" t="n">
        <v>1500</v>
      </c>
      <c r="Y15" s="4" t="n">
        <v>0</v>
      </c>
      <c r="Z15" s="0" t="n">
        <v>0</v>
      </c>
      <c r="AA15" s="4" t="n">
        <v>0</v>
      </c>
      <c r="AB15" s="5" t="n">
        <v>0</v>
      </c>
      <c r="AC15" s="5" t="n">
        <v>0</v>
      </c>
      <c r="AF15" s="0" t="n">
        <v>1500</v>
      </c>
      <c r="AG15" s="4" t="n">
        <v>0</v>
      </c>
      <c r="AH15" s="4" t="n">
        <v>8.103</v>
      </c>
      <c r="AI15" s="4" t="n">
        <v>7.29566666666667</v>
      </c>
      <c r="AL15" s="0" t="n">
        <v>150</v>
      </c>
      <c r="AM15" s="5" t="n">
        <v>0.0244</v>
      </c>
      <c r="AN15" s="5" t="n">
        <v>0.0244</v>
      </c>
      <c r="AO15" s="5" t="n">
        <v>0.0244</v>
      </c>
      <c r="AP15" s="5" t="n">
        <v>0.0244</v>
      </c>
      <c r="AQ15" s="5" t="n">
        <v>0.0244</v>
      </c>
      <c r="AR15" s="5" t="n">
        <v>0.0244</v>
      </c>
    </row>
    <row r="16" customFormat="false" ht="12.8" hidden="false" customHeight="false" outlineLevel="0" collapsed="false">
      <c r="A16" s="0" t="s">
        <v>10</v>
      </c>
      <c r="B16" s="0" t="n">
        <v>1</v>
      </c>
      <c r="C16" s="0" t="n">
        <v>0</v>
      </c>
      <c r="D16" s="0" t="n">
        <v>2000</v>
      </c>
      <c r="E16" s="0" t="n">
        <v>0</v>
      </c>
      <c r="F16" s="0" t="n">
        <v>0</v>
      </c>
      <c r="G16" s="0" t="n">
        <v>0</v>
      </c>
      <c r="K16" s="0" t="s">
        <v>10</v>
      </c>
      <c r="L16" s="0" t="n">
        <v>1</v>
      </c>
      <c r="M16" s="0" t="n">
        <v>0</v>
      </c>
      <c r="N16" s="0" t="n">
        <v>2000</v>
      </c>
      <c r="O16" s="4" t="n">
        <f aca="false">(E16+E33+E50)/3</f>
        <v>0</v>
      </c>
      <c r="P16" s="3" t="e">
        <f aca="false">(N16/O16)</f>
        <v>#DIV/0!</v>
      </c>
      <c r="Q16" s="4" t="n">
        <f aca="false">(G16+G33+G50)/3</f>
        <v>0</v>
      </c>
      <c r="R16" s="5" t="n">
        <f aca="false">(H16+H33+H50)/3</f>
        <v>0</v>
      </c>
      <c r="S16" s="5" t="n">
        <f aca="false">(I16+I33+I50)/3</f>
        <v>0</v>
      </c>
      <c r="U16" s="0" t="s">
        <v>10</v>
      </c>
      <c r="V16" s="0" t="n">
        <v>1</v>
      </c>
      <c r="W16" s="0" t="n">
        <v>0</v>
      </c>
      <c r="X16" s="0" t="n">
        <v>2000</v>
      </c>
      <c r="Y16" s="4" t="n">
        <v>0</v>
      </c>
      <c r="Z16" s="0" t="n">
        <v>0</v>
      </c>
      <c r="AA16" s="4" t="n">
        <v>0</v>
      </c>
      <c r="AB16" s="5" t="n">
        <v>0</v>
      </c>
      <c r="AC16" s="5" t="n">
        <v>0</v>
      </c>
      <c r="AF16" s="0" t="n">
        <v>2000</v>
      </c>
      <c r="AG16" s="4" t="n">
        <v>0</v>
      </c>
      <c r="AH16" s="4" t="n">
        <v>10.2703333333333</v>
      </c>
      <c r="AI16" s="4" t="n">
        <v>10.746</v>
      </c>
      <c r="AL16" s="0" t="n">
        <v>200</v>
      </c>
      <c r="AM16" s="5" t="n">
        <v>0.032533</v>
      </c>
      <c r="AN16" s="5" t="n">
        <v>0.032533</v>
      </c>
      <c r="AO16" s="5" t="n">
        <v>0.032533</v>
      </c>
      <c r="AP16" s="5" t="n">
        <v>0.032533</v>
      </c>
      <c r="AQ16" s="5" t="n">
        <v>0.032533</v>
      </c>
      <c r="AR16" s="5" t="n">
        <v>0.032533</v>
      </c>
    </row>
    <row r="17" customFormat="false" ht="12.8" hidden="false" customHeight="false" outlineLevel="0" collapsed="false">
      <c r="A17" s="0" t="s">
        <v>10</v>
      </c>
      <c r="B17" s="0" t="n">
        <v>1</v>
      </c>
      <c r="C17" s="0" t="n">
        <v>0</v>
      </c>
      <c r="D17" s="0" t="n">
        <v>3000</v>
      </c>
      <c r="E17" s="0" t="n">
        <v>0</v>
      </c>
      <c r="F17" s="0" t="n">
        <v>0</v>
      </c>
      <c r="G17" s="0" t="n">
        <v>0</v>
      </c>
      <c r="K17" s="0" t="s">
        <v>10</v>
      </c>
      <c r="L17" s="0" t="n">
        <v>1</v>
      </c>
      <c r="M17" s="0" t="n">
        <v>0</v>
      </c>
      <c r="N17" s="0" t="n">
        <v>3000</v>
      </c>
      <c r="O17" s="4" t="n">
        <f aca="false">(E17+E34+E51)/3</f>
        <v>0</v>
      </c>
      <c r="P17" s="3" t="e">
        <f aca="false">(N17/O17)</f>
        <v>#DIV/0!</v>
      </c>
      <c r="Q17" s="4" t="n">
        <f aca="false">(G17+G34+G51)/3</f>
        <v>0</v>
      </c>
      <c r="R17" s="5" t="n">
        <f aca="false">(H17+H34+H51)/3</f>
        <v>0</v>
      </c>
      <c r="S17" s="5" t="n">
        <f aca="false">(I17+I34+I51)/3</f>
        <v>0</v>
      </c>
      <c r="U17" s="0" t="s">
        <v>10</v>
      </c>
      <c r="V17" s="0" t="n">
        <v>1</v>
      </c>
      <c r="W17" s="0" t="n">
        <v>0</v>
      </c>
      <c r="X17" s="0" t="n">
        <v>3000</v>
      </c>
      <c r="Y17" s="4" t="n">
        <v>0</v>
      </c>
      <c r="Z17" s="0" t="n">
        <v>0</v>
      </c>
      <c r="AA17" s="4" t="n">
        <v>0</v>
      </c>
      <c r="AB17" s="5" t="n">
        <v>0</v>
      </c>
      <c r="AC17" s="5" t="n">
        <v>0</v>
      </c>
      <c r="AF17" s="0" t="n">
        <v>3000</v>
      </c>
      <c r="AG17" s="4" t="n">
        <v>0</v>
      </c>
      <c r="AH17" s="4" t="n">
        <v>17.574</v>
      </c>
      <c r="AI17" s="4" t="n">
        <v>18.1106666666667</v>
      </c>
      <c r="AL17" s="0" t="n">
        <v>250</v>
      </c>
      <c r="AM17" s="5" t="n">
        <v>0.040666</v>
      </c>
      <c r="AN17" s="5" t="n">
        <v>0.040666</v>
      </c>
      <c r="AO17" s="5" t="n">
        <v>0.040666</v>
      </c>
      <c r="AP17" s="5" t="n">
        <v>0.040666</v>
      </c>
      <c r="AQ17" s="5" t="n">
        <v>0.040666</v>
      </c>
      <c r="AR17" s="5" t="n">
        <v>0.0406663333333333</v>
      </c>
    </row>
    <row r="18" customFormat="false" ht="12.8" hidden="false" customHeight="false" outlineLevel="0" collapsed="false">
      <c r="A18" s="0" t="s">
        <v>0</v>
      </c>
      <c r="B18" s="0" t="s">
        <v>1</v>
      </c>
      <c r="C18" s="0" t="s">
        <v>2</v>
      </c>
      <c r="D18" s="0" t="s">
        <v>3</v>
      </c>
      <c r="E18" s="0" t="s">
        <v>4</v>
      </c>
      <c r="F18" s="0" t="s">
        <v>5</v>
      </c>
      <c r="G18" s="0" t="s">
        <v>6</v>
      </c>
      <c r="H18" s="0" t="s">
        <v>7</v>
      </c>
      <c r="I18" s="0" t="s">
        <v>8</v>
      </c>
      <c r="U18" s="0" t="s">
        <v>0</v>
      </c>
      <c r="V18" s="0" t="s">
        <v>1</v>
      </c>
      <c r="W18" s="0" t="s">
        <v>2</v>
      </c>
      <c r="X18" s="0" t="s">
        <v>3</v>
      </c>
      <c r="Y18" s="0" t="s">
        <v>4</v>
      </c>
      <c r="Z18" s="0" t="s">
        <v>5</v>
      </c>
      <c r="AA18" s="0" t="s">
        <v>6</v>
      </c>
      <c r="AB18" s="0" t="s">
        <v>7</v>
      </c>
      <c r="AC18" s="0" t="s">
        <v>8</v>
      </c>
      <c r="AL18" s="0" t="n">
        <v>500</v>
      </c>
      <c r="AM18" s="5" t="n">
        <v>0.081333</v>
      </c>
      <c r="AN18" s="5" t="n">
        <v>0.081333</v>
      </c>
      <c r="AO18" s="5" t="n">
        <v>0.081333</v>
      </c>
      <c r="AP18" s="5" t="n">
        <v>0.081333</v>
      </c>
      <c r="AQ18" s="5" t="n">
        <v>0.081333</v>
      </c>
      <c r="AR18" s="5" t="n">
        <v>0.081333</v>
      </c>
    </row>
    <row r="19" customFormat="false" ht="12.8" hidden="false" customHeight="false" outlineLevel="0" collapsed="false">
      <c r="A19" s="0" t="s">
        <v>10</v>
      </c>
      <c r="B19" s="0" t="n">
        <v>1</v>
      </c>
      <c r="C19" s="0" t="n">
        <v>100</v>
      </c>
      <c r="D19" s="0" t="n">
        <v>10</v>
      </c>
      <c r="E19" s="0" t="n">
        <v>1.44</v>
      </c>
      <c r="F19" s="3" t="n">
        <f aca="false">D19/E19</f>
        <v>6.94444444444445</v>
      </c>
      <c r="G19" s="0" t="n">
        <v>1.283</v>
      </c>
      <c r="H19" s="0" t="n">
        <v>0.001661</v>
      </c>
      <c r="I19" s="0" t="n">
        <v>0.000537</v>
      </c>
      <c r="U19" s="0" t="s">
        <v>11</v>
      </c>
      <c r="V19" s="0" t="n">
        <v>1</v>
      </c>
      <c r="W19" s="0" t="n">
        <v>100</v>
      </c>
      <c r="X19" s="0" t="n">
        <v>10</v>
      </c>
      <c r="Y19" s="4" t="n">
        <v>1.15966666666667</v>
      </c>
      <c r="Z19" s="3" t="n">
        <v>8.62316757688991</v>
      </c>
      <c r="AA19" s="4" t="n">
        <v>1.00533333333333</v>
      </c>
      <c r="AB19" s="5" t="n">
        <v>0.001661</v>
      </c>
      <c r="AC19" s="5" t="n">
        <v>0.000538</v>
      </c>
      <c r="AE19" s="0" t="s">
        <v>20</v>
      </c>
      <c r="AF19" s="0" t="s">
        <v>3</v>
      </c>
      <c r="AG19" s="0" t="s">
        <v>10</v>
      </c>
      <c r="AH19" s="0" t="s">
        <v>11</v>
      </c>
      <c r="AI19" s="0" t="s">
        <v>12</v>
      </c>
      <c r="AL19" s="0" t="n">
        <v>750</v>
      </c>
      <c r="AM19" s="5" t="n">
        <v>0</v>
      </c>
      <c r="AN19" s="5" t="n">
        <v>0.121999</v>
      </c>
      <c r="AO19" s="5" t="n">
        <v>0.121999333333333</v>
      </c>
      <c r="AP19" s="5" t="n">
        <v>0.121999</v>
      </c>
      <c r="AQ19" s="5" t="n">
        <v>0.121999333333333</v>
      </c>
      <c r="AR19" s="5" t="n">
        <v>0.121999333333333</v>
      </c>
    </row>
    <row r="20" customFormat="false" ht="12.8" hidden="false" customHeight="false" outlineLevel="0" collapsed="false">
      <c r="A20" s="0" t="s">
        <v>10</v>
      </c>
      <c r="B20" s="0" t="n">
        <v>1</v>
      </c>
      <c r="C20" s="0" t="n">
        <v>100</v>
      </c>
      <c r="D20" s="0" t="n">
        <v>15</v>
      </c>
      <c r="E20" s="0" t="n">
        <v>0.974</v>
      </c>
      <c r="F20" s="3" t="n">
        <f aca="false">D20/E20</f>
        <v>15.4004106776181</v>
      </c>
      <c r="G20" s="0" t="n">
        <v>0.803</v>
      </c>
      <c r="H20" s="0" t="n">
        <v>0.00244</v>
      </c>
      <c r="I20" s="0" t="n">
        <v>0.000781</v>
      </c>
      <c r="U20" s="0" t="s">
        <v>11</v>
      </c>
      <c r="V20" s="0" t="n">
        <v>1</v>
      </c>
      <c r="W20" s="0" t="n">
        <v>100</v>
      </c>
      <c r="X20" s="0" t="n">
        <v>15</v>
      </c>
      <c r="Y20" s="4" t="n">
        <v>0.945</v>
      </c>
      <c r="Z20" s="3" t="n">
        <v>15.8730158730159</v>
      </c>
      <c r="AA20" s="4" t="n">
        <v>0.775</v>
      </c>
      <c r="AB20" s="5" t="n">
        <v>0.00244</v>
      </c>
      <c r="AC20" s="5" t="n">
        <v>0.000776333333333333</v>
      </c>
      <c r="AF20" s="0" t="n">
        <v>10</v>
      </c>
      <c r="AG20" s="4" t="n">
        <v>0.965666666666667</v>
      </c>
      <c r="AH20" s="4" t="n">
        <v>0.871</v>
      </c>
      <c r="AI20" s="4" t="n">
        <v>0.228555555555556</v>
      </c>
      <c r="AL20" s="0" t="n">
        <v>1000</v>
      </c>
      <c r="AM20" s="5" t="n">
        <v>0</v>
      </c>
      <c r="AN20" s="5" t="n">
        <v>0.162666</v>
      </c>
      <c r="AO20" s="5" t="n">
        <v>0.162665333333333</v>
      </c>
      <c r="AP20" s="5" t="n">
        <v>0.162665666666667</v>
      </c>
      <c r="AQ20" s="5" t="n">
        <v>0.162666</v>
      </c>
      <c r="AR20" s="5" t="n">
        <v>0.162665</v>
      </c>
    </row>
    <row r="21" customFormat="false" ht="12.8" hidden="false" customHeight="false" outlineLevel="0" collapsed="false">
      <c r="A21" s="0" t="s">
        <v>10</v>
      </c>
      <c r="B21" s="0" t="n">
        <v>1</v>
      </c>
      <c r="C21" s="0" t="n">
        <v>100</v>
      </c>
      <c r="D21" s="0" t="n">
        <v>20</v>
      </c>
      <c r="E21" s="0" t="n">
        <v>1.161</v>
      </c>
      <c r="F21" s="3" t="n">
        <f aca="false">D21/E21</f>
        <v>17.2265288544358</v>
      </c>
      <c r="G21" s="0" t="n">
        <v>0.975</v>
      </c>
      <c r="H21" s="0" t="n">
        <v>0.003253</v>
      </c>
      <c r="I21" s="0" t="n">
        <v>0.001042</v>
      </c>
      <c r="U21" s="0" t="s">
        <v>11</v>
      </c>
      <c r="V21" s="0" t="n">
        <v>1</v>
      </c>
      <c r="W21" s="0" t="n">
        <v>100</v>
      </c>
      <c r="X21" s="0" t="n">
        <v>20</v>
      </c>
      <c r="Y21" s="4" t="n">
        <v>0.929333333333333</v>
      </c>
      <c r="Z21" s="3" t="n">
        <v>21.5208034433286</v>
      </c>
      <c r="AA21" s="4" t="n">
        <v>0.741666666666667</v>
      </c>
      <c r="AB21" s="5" t="n">
        <v>0.003253</v>
      </c>
      <c r="AC21" s="5" t="n">
        <v>0.00103666666666667</v>
      </c>
      <c r="AF21" s="0" t="n">
        <v>15</v>
      </c>
      <c r="AG21" s="4" t="n">
        <v>0.882666666666667</v>
      </c>
      <c r="AH21" s="4" t="n">
        <v>0.875666666666667</v>
      </c>
      <c r="AI21" s="4" t="n">
        <v>0.311777777777778</v>
      </c>
      <c r="AL21" s="0" t="n">
        <v>1500</v>
      </c>
      <c r="AM21" s="5" t="n">
        <v>0</v>
      </c>
      <c r="AN21" s="5" t="n">
        <v>0.243998</v>
      </c>
      <c r="AO21" s="5" t="n">
        <v>0.243998666666667</v>
      </c>
      <c r="AP21" s="5" t="n">
        <v>0.243998333333333</v>
      </c>
      <c r="AQ21" s="5" t="n">
        <v>0.243998333333333</v>
      </c>
      <c r="AR21" s="5" t="n">
        <v>0.243998333333333</v>
      </c>
    </row>
    <row r="22" customFormat="false" ht="12.8" hidden="false" customHeight="false" outlineLevel="0" collapsed="false">
      <c r="A22" s="0" t="s">
        <v>10</v>
      </c>
      <c r="B22" s="0" t="n">
        <v>1</v>
      </c>
      <c r="C22" s="0" t="n">
        <v>100</v>
      </c>
      <c r="D22" s="0" t="n">
        <v>25</v>
      </c>
      <c r="E22" s="0" t="n">
        <v>1.324</v>
      </c>
      <c r="F22" s="3" t="n">
        <f aca="false">D22/E22</f>
        <v>18.8821752265861</v>
      </c>
      <c r="G22" s="0" t="n">
        <v>1.13</v>
      </c>
      <c r="H22" s="0" t="n">
        <v>0.004067</v>
      </c>
      <c r="I22" s="0" t="n">
        <v>0.001304</v>
      </c>
      <c r="U22" s="0" t="s">
        <v>11</v>
      </c>
      <c r="V22" s="0" t="n">
        <v>1</v>
      </c>
      <c r="W22" s="0" t="n">
        <v>100</v>
      </c>
      <c r="X22" s="0" t="n">
        <v>25</v>
      </c>
      <c r="Y22" s="4" t="n">
        <v>0.913666666666667</v>
      </c>
      <c r="Z22" s="3" t="n">
        <v>27.3622765414082</v>
      </c>
      <c r="AA22" s="4" t="n">
        <v>0.733</v>
      </c>
      <c r="AB22" s="5" t="n">
        <v>0.004067</v>
      </c>
      <c r="AC22" s="5" t="n">
        <v>0.001302</v>
      </c>
      <c r="AF22" s="0" t="n">
        <v>20</v>
      </c>
      <c r="AG22" s="4" t="n">
        <v>0.981666666666667</v>
      </c>
      <c r="AH22" s="4" t="n">
        <v>0.964</v>
      </c>
      <c r="AI22" s="4" t="n">
        <v>0.305444444444444</v>
      </c>
      <c r="AL22" s="0" t="n">
        <v>2000</v>
      </c>
      <c r="AM22" s="5" t="n">
        <v>0</v>
      </c>
      <c r="AN22" s="5" t="n">
        <v>0.325331</v>
      </c>
      <c r="AO22" s="5" t="n">
        <v>0.325331333333333</v>
      </c>
      <c r="AP22" s="5" t="n">
        <v>0</v>
      </c>
      <c r="AQ22" s="5" t="n">
        <v>0.325331333333333</v>
      </c>
      <c r="AR22" s="5" t="n">
        <v>0.325331</v>
      </c>
    </row>
    <row r="23" customFormat="false" ht="12.8" hidden="false" customHeight="false" outlineLevel="0" collapsed="false">
      <c r="A23" s="0" t="s">
        <v>10</v>
      </c>
      <c r="B23" s="0" t="n">
        <v>1</v>
      </c>
      <c r="C23" s="0" t="n">
        <v>100</v>
      </c>
      <c r="D23" s="0" t="n">
        <v>50</v>
      </c>
      <c r="E23" s="0" t="n">
        <v>2.027</v>
      </c>
      <c r="F23" s="3" t="n">
        <f aca="false">D23/E23</f>
        <v>24.6669955599408</v>
      </c>
      <c r="G23" s="0" t="n">
        <v>1.832</v>
      </c>
      <c r="H23" s="0" t="n">
        <v>0.008133</v>
      </c>
      <c r="I23" s="0" t="n">
        <v>0.00261</v>
      </c>
      <c r="U23" s="0" t="s">
        <v>11</v>
      </c>
      <c r="V23" s="0" t="n">
        <v>1</v>
      </c>
      <c r="W23" s="0" t="n">
        <v>100</v>
      </c>
      <c r="X23" s="0" t="n">
        <v>50</v>
      </c>
      <c r="Y23" s="4" t="n">
        <v>0.948</v>
      </c>
      <c r="Z23" s="3" t="n">
        <v>52.7426160337553</v>
      </c>
      <c r="AA23" s="4" t="n">
        <v>0.755333333333333</v>
      </c>
      <c r="AB23" s="5" t="n">
        <v>0.008133</v>
      </c>
      <c r="AC23" s="5" t="n">
        <v>0.00260433333333333</v>
      </c>
      <c r="AF23" s="0" t="n">
        <v>25</v>
      </c>
      <c r="AG23" s="4" t="n">
        <v>0.950333333333333</v>
      </c>
      <c r="AH23" s="4" t="n">
        <v>0.996666666666667</v>
      </c>
      <c r="AI23" s="4" t="n">
        <v>0.289666666666667</v>
      </c>
      <c r="AL23" s="0" t="n">
        <v>3000</v>
      </c>
      <c r="AM23" s="5" t="n">
        <v>0</v>
      </c>
      <c r="AN23" s="5" t="n">
        <v>0.487997</v>
      </c>
      <c r="AO23" s="5" t="n">
        <v>0.487997333333333</v>
      </c>
      <c r="AP23" s="5" t="n">
        <v>0</v>
      </c>
      <c r="AQ23" s="5" t="n">
        <v>0.487997</v>
      </c>
      <c r="AR23" s="5" t="n">
        <v>0.487996333333333</v>
      </c>
    </row>
    <row r="24" customFormat="false" ht="12.8" hidden="false" customHeight="false" outlineLevel="0" collapsed="false">
      <c r="A24" s="0" t="s">
        <v>10</v>
      </c>
      <c r="B24" s="0" t="n">
        <v>1</v>
      </c>
      <c r="C24" s="0" t="n">
        <v>100</v>
      </c>
      <c r="D24" s="0" t="n">
        <v>75</v>
      </c>
      <c r="E24" s="0" t="n">
        <v>3.633</v>
      </c>
      <c r="F24" s="3" t="n">
        <f aca="false">D24/E24</f>
        <v>20.6440957886045</v>
      </c>
      <c r="G24" s="0" t="n">
        <v>3.401</v>
      </c>
      <c r="H24" s="0" t="n">
        <v>0.0122</v>
      </c>
      <c r="I24" s="0" t="n">
        <v>0.003896</v>
      </c>
      <c r="U24" s="0" t="s">
        <v>11</v>
      </c>
      <c r="V24" s="0" t="n">
        <v>1</v>
      </c>
      <c r="W24" s="0" t="n">
        <v>100</v>
      </c>
      <c r="X24" s="0" t="n">
        <v>75</v>
      </c>
      <c r="Y24" s="4" t="n">
        <v>1.50066666666667</v>
      </c>
      <c r="Z24" s="3" t="n">
        <v>49.9777876499334</v>
      </c>
      <c r="AA24" s="4" t="n">
        <v>1.291</v>
      </c>
      <c r="AB24" s="5" t="n">
        <v>0.0122</v>
      </c>
      <c r="AC24" s="5" t="n">
        <v>0.00389066666666667</v>
      </c>
      <c r="AF24" s="0" t="n">
        <v>50</v>
      </c>
      <c r="AG24" s="4" t="n">
        <v>1.008</v>
      </c>
      <c r="AH24" s="4" t="n">
        <v>1.01866666666667</v>
      </c>
      <c r="AI24" s="4" t="n">
        <v>0.304555555555556</v>
      </c>
    </row>
    <row r="25" customFormat="false" ht="12.8" hidden="false" customHeight="false" outlineLevel="0" collapsed="false">
      <c r="A25" s="0" t="s">
        <v>10</v>
      </c>
      <c r="B25" s="0" t="n">
        <v>1</v>
      </c>
      <c r="C25" s="0" t="n">
        <v>100</v>
      </c>
      <c r="D25" s="0" t="n">
        <v>100</v>
      </c>
      <c r="E25" s="0" t="n">
        <v>4.378</v>
      </c>
      <c r="F25" s="3" t="n">
        <f aca="false">D25/E25</f>
        <v>22.8414801279123</v>
      </c>
      <c r="G25" s="0" t="n">
        <v>4.165</v>
      </c>
      <c r="H25" s="0" t="n">
        <v>0.016267</v>
      </c>
      <c r="I25" s="0" t="n">
        <v>0.005192</v>
      </c>
      <c r="U25" s="0" t="s">
        <v>11</v>
      </c>
      <c r="V25" s="0" t="n">
        <v>1</v>
      </c>
      <c r="W25" s="0" t="n">
        <v>100</v>
      </c>
      <c r="X25" s="0" t="n">
        <v>100</v>
      </c>
      <c r="Y25" s="4" t="n">
        <v>1.802</v>
      </c>
      <c r="Z25" s="3" t="n">
        <v>55.4938956714761</v>
      </c>
      <c r="AA25" s="4" t="n">
        <v>1.56866666666667</v>
      </c>
      <c r="AB25" s="5" t="n">
        <v>0.016267</v>
      </c>
      <c r="AC25" s="5" t="n">
        <v>0.005196</v>
      </c>
      <c r="AF25" s="0" t="n">
        <v>75</v>
      </c>
      <c r="AG25" s="4" t="n">
        <v>1.09866666666667</v>
      </c>
      <c r="AH25" s="4" t="n">
        <v>1.54166666666667</v>
      </c>
      <c r="AI25" s="4" t="n">
        <v>0.277888888888889</v>
      </c>
      <c r="AK25" s="0" t="s">
        <v>21</v>
      </c>
      <c r="AL25" s="0" t="s">
        <v>3</v>
      </c>
      <c r="AM25" s="0" t="s">
        <v>10</v>
      </c>
      <c r="AN25" s="0" t="s">
        <v>11</v>
      </c>
      <c r="AO25" s="0" t="s">
        <v>12</v>
      </c>
      <c r="AP25" s="0" t="s">
        <v>17</v>
      </c>
      <c r="AQ25" s="0" t="s">
        <v>18</v>
      </c>
      <c r="AR25" s="0" t="s">
        <v>19</v>
      </c>
    </row>
    <row r="26" customFormat="false" ht="23.85" hidden="false" customHeight="false" outlineLevel="0" collapsed="false">
      <c r="A26" s="0" t="s">
        <v>10</v>
      </c>
      <c r="B26" s="0" t="n">
        <v>1</v>
      </c>
      <c r="C26" s="0" t="n">
        <v>100</v>
      </c>
      <c r="D26" s="0" t="n">
        <v>150</v>
      </c>
      <c r="E26" s="0" t="n">
        <v>5.959</v>
      </c>
      <c r="F26" s="3" t="n">
        <f aca="false">D26/E26</f>
        <v>25.1720087262964</v>
      </c>
      <c r="G26" s="0" t="n">
        <v>5.501</v>
      </c>
      <c r="H26" s="0" t="n">
        <v>0.0244</v>
      </c>
      <c r="I26" s="0" t="n">
        <v>0.00781</v>
      </c>
      <c r="U26" s="0" t="s">
        <v>11</v>
      </c>
      <c r="V26" s="0" t="n">
        <v>1</v>
      </c>
      <c r="W26" s="0" t="n">
        <v>100</v>
      </c>
      <c r="X26" s="0" t="n">
        <v>150</v>
      </c>
      <c r="Y26" s="4" t="n">
        <v>1.732</v>
      </c>
      <c r="Z26" s="3" t="n">
        <v>86.6050808314088</v>
      </c>
      <c r="AA26" s="4" t="n">
        <v>1.29033333333333</v>
      </c>
      <c r="AB26" s="5" t="n">
        <v>0.0244</v>
      </c>
      <c r="AC26" s="5" t="n">
        <v>0.007809</v>
      </c>
      <c r="AF26" s="0" t="n">
        <v>100</v>
      </c>
      <c r="AG26" s="4" t="n">
        <v>1.157</v>
      </c>
      <c r="AH26" s="4" t="n">
        <v>1.414</v>
      </c>
      <c r="AI26" s="4" t="n">
        <v>0.42</v>
      </c>
      <c r="AK26" s="6" t="s">
        <v>22</v>
      </c>
      <c r="AL26" s="0" t="n">
        <v>10</v>
      </c>
      <c r="AM26" s="7" t="n">
        <f aca="false">AM8*$AK$27</f>
        <v>3.88944743</v>
      </c>
      <c r="AN26" s="7" t="n">
        <f aca="false">AN8*$AK$27</f>
        <v>3.88944743</v>
      </c>
      <c r="AO26" s="7" t="n">
        <f aca="false">AO8*$AK$27</f>
        <v>3.88944743</v>
      </c>
      <c r="AP26" s="7" t="n">
        <f aca="false">AP8*$AK$27</f>
        <v>3.88944743</v>
      </c>
      <c r="AQ26" s="7" t="n">
        <f aca="false">AQ8*$AK$27</f>
        <v>3.88944743</v>
      </c>
      <c r="AR26" s="7" t="n">
        <f aca="false">AR8*$AK$27</f>
        <v>3.88944743</v>
      </c>
    </row>
    <row r="27" customFormat="false" ht="12.8" hidden="false" customHeight="false" outlineLevel="0" collapsed="false">
      <c r="A27" s="0" t="s">
        <v>10</v>
      </c>
      <c r="B27" s="0" t="n">
        <v>1</v>
      </c>
      <c r="C27" s="0" t="n">
        <v>100</v>
      </c>
      <c r="D27" s="0" t="n">
        <v>200</v>
      </c>
      <c r="E27" s="0" t="n">
        <v>7.507</v>
      </c>
      <c r="F27" s="3" t="n">
        <f aca="false">D27/E27</f>
        <v>26.6418009857466</v>
      </c>
      <c r="G27" s="0" t="n">
        <v>7.045</v>
      </c>
      <c r="H27" s="0" t="n">
        <v>0.032533</v>
      </c>
      <c r="I27" s="0" t="n">
        <v>0.010403</v>
      </c>
      <c r="U27" s="0" t="s">
        <v>11</v>
      </c>
      <c r="V27" s="0" t="n">
        <v>1</v>
      </c>
      <c r="W27" s="0" t="n">
        <v>100</v>
      </c>
      <c r="X27" s="0" t="n">
        <v>200</v>
      </c>
      <c r="Y27" s="4" t="n">
        <v>1.59733333333333</v>
      </c>
      <c r="Z27" s="3" t="n">
        <v>125.208681135225</v>
      </c>
      <c r="AA27" s="4" t="n">
        <v>1.193</v>
      </c>
      <c r="AB27" s="5" t="n">
        <v>0.032533</v>
      </c>
      <c r="AC27" s="5" t="n">
        <v>0.010403</v>
      </c>
      <c r="AF27" s="0" t="n">
        <v>150</v>
      </c>
      <c r="AG27" s="4" t="n">
        <v>2.24633333333333</v>
      </c>
      <c r="AH27" s="4" t="n">
        <v>1.77433333333333</v>
      </c>
      <c r="AI27" s="4" t="n">
        <v>0.563222222222222</v>
      </c>
      <c r="AK27" s="0" t="n">
        <v>2341.63</v>
      </c>
      <c r="AL27" s="0" t="n">
        <v>15</v>
      </c>
      <c r="AM27" s="7" t="n">
        <f aca="false">AM9*$AK$27</f>
        <v>5.7135772</v>
      </c>
      <c r="AN27" s="7" t="n">
        <f aca="false">AN9*$AK$27</f>
        <v>5.7135772</v>
      </c>
      <c r="AO27" s="7" t="n">
        <f aca="false">AO9*$AK$27</f>
        <v>5.7135772</v>
      </c>
      <c r="AP27" s="7" t="n">
        <f aca="false">AP9*$AK$27</f>
        <v>5.7135772</v>
      </c>
      <c r="AQ27" s="7" t="n">
        <f aca="false">AQ9*$AK$27</f>
        <v>5.7135772</v>
      </c>
      <c r="AR27" s="7" t="n">
        <f aca="false">AR9*$AK$27</f>
        <v>5.7135772</v>
      </c>
    </row>
    <row r="28" customFormat="false" ht="12.8" hidden="false" customHeight="false" outlineLevel="0" collapsed="false">
      <c r="A28" s="0" t="s">
        <v>10</v>
      </c>
      <c r="B28" s="0" t="n">
        <v>1</v>
      </c>
      <c r="C28" s="0" t="n">
        <v>100</v>
      </c>
      <c r="D28" s="0" t="n">
        <v>250</v>
      </c>
      <c r="E28" s="0" t="n">
        <v>8.812</v>
      </c>
      <c r="F28" s="3" t="n">
        <f aca="false">D28/E28</f>
        <v>28.3704039945529</v>
      </c>
      <c r="G28" s="0" t="n">
        <v>8.228</v>
      </c>
      <c r="H28" s="0" t="n">
        <v>0.040666</v>
      </c>
      <c r="I28" s="0" t="n">
        <v>0.013016</v>
      </c>
      <c r="U28" s="0" t="s">
        <v>11</v>
      </c>
      <c r="V28" s="0" t="n">
        <v>1</v>
      </c>
      <c r="W28" s="0" t="n">
        <v>100</v>
      </c>
      <c r="X28" s="0" t="n">
        <v>250</v>
      </c>
      <c r="Y28" s="4" t="n">
        <v>2.426</v>
      </c>
      <c r="Z28" s="3" t="n">
        <v>103.050288540808</v>
      </c>
      <c r="AA28" s="4" t="n">
        <v>1.94333333333333</v>
      </c>
      <c r="AB28" s="5" t="n">
        <v>0.040666</v>
      </c>
      <c r="AC28" s="5" t="n">
        <v>0.012995</v>
      </c>
      <c r="AF28" s="0" t="n">
        <v>200</v>
      </c>
      <c r="AG28" s="4" t="n">
        <v>2.55566666666667</v>
      </c>
      <c r="AH28" s="4" t="n">
        <v>1.83266666666667</v>
      </c>
      <c r="AI28" s="4" t="n">
        <v>0.666777777777778</v>
      </c>
      <c r="AL28" s="0" t="n">
        <v>20</v>
      </c>
      <c r="AM28" s="7" t="n">
        <f aca="false">AM10*$AK$27</f>
        <v>7.61732239</v>
      </c>
      <c r="AN28" s="7" t="n">
        <f aca="false">AN10*$AK$27</f>
        <v>7.61732239</v>
      </c>
      <c r="AO28" s="7" t="n">
        <f aca="false">AO10*$AK$27</f>
        <v>7.61732239</v>
      </c>
      <c r="AP28" s="7" t="n">
        <f aca="false">AP10*$AK$27</f>
        <v>7.61732239</v>
      </c>
      <c r="AQ28" s="7" t="n">
        <f aca="false">AQ10*$AK$27</f>
        <v>7.61732239</v>
      </c>
      <c r="AR28" s="7" t="n">
        <f aca="false">AR10*$AK$27</f>
        <v>7.61732239</v>
      </c>
    </row>
    <row r="29" customFormat="false" ht="12.8" hidden="false" customHeight="false" outlineLevel="0" collapsed="false">
      <c r="A29" s="0" t="s">
        <v>10</v>
      </c>
      <c r="B29" s="0" t="n">
        <v>1</v>
      </c>
      <c r="C29" s="0" t="n">
        <v>60</v>
      </c>
      <c r="D29" s="0" t="n">
        <v>500</v>
      </c>
      <c r="E29" s="0" t="n">
        <v>11.507</v>
      </c>
      <c r="F29" s="3" t="n">
        <f aca="false">D29/E29</f>
        <v>43.4518119405579</v>
      </c>
      <c r="G29" s="0" t="n">
        <v>10.534</v>
      </c>
      <c r="H29" s="0" t="n">
        <v>0.081333</v>
      </c>
      <c r="I29" s="0" t="n">
        <v>0.01549</v>
      </c>
      <c r="U29" s="0" t="s">
        <v>11</v>
      </c>
      <c r="V29" s="0" t="n">
        <v>1</v>
      </c>
      <c r="W29" s="0" t="n">
        <v>100</v>
      </c>
      <c r="X29" s="0" t="n">
        <v>500</v>
      </c>
      <c r="Y29" s="4" t="n">
        <v>3.12433333333333</v>
      </c>
      <c r="Z29" s="3" t="n">
        <v>160.034140616665</v>
      </c>
      <c r="AA29" s="4" t="n">
        <v>2.04133333333333</v>
      </c>
      <c r="AB29" s="5" t="n">
        <v>0.081333</v>
      </c>
      <c r="AC29" s="5" t="n">
        <v>0.026007</v>
      </c>
      <c r="AF29" s="0" t="n">
        <v>250</v>
      </c>
      <c r="AG29" s="4" t="n">
        <v>2.80533333333333</v>
      </c>
      <c r="AH29" s="4" t="n">
        <v>1.66033333333333</v>
      </c>
      <c r="AI29" s="4" t="n">
        <v>0.588333333333333</v>
      </c>
      <c r="AL29" s="0" t="n">
        <v>25</v>
      </c>
      <c r="AM29" s="7" t="n">
        <f aca="false">AM11*$AK$27</f>
        <v>9.52340921</v>
      </c>
      <c r="AN29" s="7" t="n">
        <f aca="false">AN11*$AK$27</f>
        <v>9.52340921</v>
      </c>
      <c r="AO29" s="7" t="n">
        <f aca="false">AO11*$AK$27</f>
        <v>9.52340921</v>
      </c>
      <c r="AP29" s="7" t="n">
        <f aca="false">AP11*$AK$27</f>
        <v>9.52340921</v>
      </c>
      <c r="AQ29" s="7" t="n">
        <f aca="false">AQ11*$AK$27</f>
        <v>9.52340921</v>
      </c>
      <c r="AR29" s="7" t="n">
        <f aca="false">AR11*$AK$27</f>
        <v>9.52340921</v>
      </c>
    </row>
    <row r="30" customFormat="false" ht="12.8" hidden="false" customHeight="false" outlineLevel="0" collapsed="false">
      <c r="A30" s="0" t="s">
        <v>10</v>
      </c>
      <c r="B30" s="0" t="n">
        <v>1</v>
      </c>
      <c r="C30" s="0" t="n">
        <v>0</v>
      </c>
      <c r="D30" s="0" t="n">
        <v>750</v>
      </c>
      <c r="E30" s="0" t="n">
        <v>0</v>
      </c>
      <c r="F30" s="0" t="n">
        <v>0</v>
      </c>
      <c r="G30" s="0" t="n">
        <v>0</v>
      </c>
      <c r="H30" s="0" t="n">
        <v>0</v>
      </c>
      <c r="I30" s="0" t="n">
        <v>0</v>
      </c>
      <c r="U30" s="0" t="s">
        <v>11</v>
      </c>
      <c r="V30" s="0" t="n">
        <v>1</v>
      </c>
      <c r="W30" s="0" t="n">
        <v>100</v>
      </c>
      <c r="X30" s="0" t="n">
        <v>750</v>
      </c>
      <c r="Y30" s="4" t="n">
        <v>4.54433333333333</v>
      </c>
      <c r="Z30" s="3" t="n">
        <v>165.04071004181</v>
      </c>
      <c r="AA30" s="4" t="n">
        <v>2.965</v>
      </c>
      <c r="AB30" s="5" t="n">
        <v>0.121999</v>
      </c>
      <c r="AC30" s="5" t="n">
        <v>0.0389843333333333</v>
      </c>
      <c r="AF30" s="0" t="n">
        <v>500</v>
      </c>
      <c r="AG30" s="4" t="n">
        <v>4.82633333333333</v>
      </c>
      <c r="AH30" s="4" t="n">
        <v>2.63766666666667</v>
      </c>
      <c r="AI30" s="4" t="n">
        <v>0.983444444444444</v>
      </c>
      <c r="AL30" s="0" t="n">
        <v>50</v>
      </c>
      <c r="AM30" s="7" t="n">
        <f aca="false">AM12*$AK$27</f>
        <v>19.04447679</v>
      </c>
      <c r="AN30" s="7" t="n">
        <f aca="false">AN12*$AK$27</f>
        <v>19.04447679</v>
      </c>
      <c r="AO30" s="7" t="n">
        <f aca="false">AO12*$AK$27</f>
        <v>19.04447679</v>
      </c>
      <c r="AP30" s="7" t="n">
        <f aca="false">AP12*$AK$27</f>
        <v>19.04447679</v>
      </c>
      <c r="AQ30" s="7" t="n">
        <f aca="false">AQ12*$AK$27</f>
        <v>19.04447679</v>
      </c>
      <c r="AR30" s="7" t="n">
        <f aca="false">AR12*$AK$27</f>
        <v>19.04447679</v>
      </c>
    </row>
    <row r="31" customFormat="false" ht="12.8" hidden="false" customHeight="false" outlineLevel="0" collapsed="false">
      <c r="A31" s="0" t="s">
        <v>10</v>
      </c>
      <c r="B31" s="0" t="n">
        <v>1</v>
      </c>
      <c r="C31" s="0" t="n">
        <v>0</v>
      </c>
      <c r="D31" s="0" t="n">
        <v>1000</v>
      </c>
      <c r="E31" s="0" t="n">
        <v>0</v>
      </c>
      <c r="F31" s="0" t="n">
        <v>0</v>
      </c>
      <c r="G31" s="0" t="n">
        <v>0</v>
      </c>
      <c r="H31" s="0" t="n">
        <v>0</v>
      </c>
      <c r="I31" s="0" t="n">
        <v>0</v>
      </c>
      <c r="U31" s="0" t="s">
        <v>11</v>
      </c>
      <c r="V31" s="0" t="n">
        <v>1</v>
      </c>
      <c r="W31" s="0" t="n">
        <v>100</v>
      </c>
      <c r="X31" s="0" t="n">
        <v>1000</v>
      </c>
      <c r="Y31" s="4" t="n">
        <v>5.911</v>
      </c>
      <c r="Z31" s="3" t="n">
        <v>169.176112332939</v>
      </c>
      <c r="AA31" s="4" t="n">
        <v>4.07033333333333</v>
      </c>
      <c r="AB31" s="5" t="n">
        <v>0.162666</v>
      </c>
      <c r="AC31" s="5" t="n">
        <v>0.05198</v>
      </c>
      <c r="AF31" s="0" t="n">
        <v>750</v>
      </c>
      <c r="AG31" s="4" t="n">
        <v>6.818</v>
      </c>
      <c r="AH31" s="4" t="n">
        <v>3.228</v>
      </c>
      <c r="AI31" s="4" t="n">
        <v>1.45233333333333</v>
      </c>
      <c r="AL31" s="0" t="n">
        <v>75</v>
      </c>
      <c r="AM31" s="7" t="n">
        <f aca="false">AM13*$AK$27</f>
        <v>28.567886</v>
      </c>
      <c r="AN31" s="7" t="n">
        <f aca="false">AN13*$AK$27</f>
        <v>28.567886</v>
      </c>
      <c r="AO31" s="7" t="n">
        <f aca="false">AO13*$AK$27</f>
        <v>28.567886</v>
      </c>
      <c r="AP31" s="7" t="n">
        <f aca="false">AP13*$AK$27</f>
        <v>28.567886</v>
      </c>
      <c r="AQ31" s="7" t="n">
        <f aca="false">AQ13*$AK$27</f>
        <v>28.567886</v>
      </c>
      <c r="AR31" s="7" t="n">
        <f aca="false">AR13*$AK$27</f>
        <v>28.567886</v>
      </c>
    </row>
    <row r="32" customFormat="false" ht="12.8" hidden="false" customHeight="false" outlineLevel="0" collapsed="false">
      <c r="A32" s="0" t="s">
        <v>10</v>
      </c>
      <c r="B32" s="0" t="n">
        <v>1</v>
      </c>
      <c r="C32" s="0" t="n">
        <v>0</v>
      </c>
      <c r="D32" s="0" t="n">
        <v>1500</v>
      </c>
      <c r="E32" s="0" t="n">
        <v>0</v>
      </c>
      <c r="F32" s="0" t="n">
        <v>0</v>
      </c>
      <c r="G32" s="0" t="n">
        <v>0</v>
      </c>
      <c r="H32" s="0" t="n">
        <v>0</v>
      </c>
      <c r="I32" s="0" t="n">
        <v>0</v>
      </c>
      <c r="U32" s="0" t="s">
        <v>11</v>
      </c>
      <c r="V32" s="0" t="n">
        <v>1</v>
      </c>
      <c r="W32" s="0" t="n">
        <v>100</v>
      </c>
      <c r="X32" s="0" t="n">
        <v>1500</v>
      </c>
      <c r="Y32" s="4" t="n">
        <v>8.103</v>
      </c>
      <c r="Z32" s="3" t="n">
        <v>185.116623472788</v>
      </c>
      <c r="AA32" s="4" t="n">
        <v>5.33366666666667</v>
      </c>
      <c r="AB32" s="5" t="n">
        <v>0.243998</v>
      </c>
      <c r="AC32" s="5" t="n">
        <v>0.0779823333333333</v>
      </c>
      <c r="AF32" s="0" t="n">
        <v>1000</v>
      </c>
      <c r="AG32" s="4" t="n">
        <v>9.25733333333333</v>
      </c>
      <c r="AH32" s="4" t="n">
        <v>4.27233333333333</v>
      </c>
      <c r="AI32" s="4" t="n">
        <v>1.68977777777778</v>
      </c>
      <c r="AL32" s="0" t="n">
        <v>100</v>
      </c>
      <c r="AM32" s="7" t="n">
        <f aca="false">AM14*$AK$27</f>
        <v>38.0905146666667</v>
      </c>
      <c r="AN32" s="7" t="n">
        <f aca="false">AN14*$AK$27</f>
        <v>38.09129521</v>
      </c>
      <c r="AO32" s="7" t="n">
        <f aca="false">AO14*$AK$27</f>
        <v>38.09129521</v>
      </c>
      <c r="AP32" s="7" t="n">
        <f aca="false">AP14*$AK$27</f>
        <v>38.0897341233333</v>
      </c>
      <c r="AQ32" s="7" t="n">
        <f aca="false">AQ14*$AK$27</f>
        <v>38.0905146666667</v>
      </c>
      <c r="AR32" s="7" t="n">
        <f aca="false">AR14*$AK$27</f>
        <v>38.0897341233333</v>
      </c>
    </row>
    <row r="33" customFormat="false" ht="12.8" hidden="false" customHeight="false" outlineLevel="0" collapsed="false">
      <c r="A33" s="0" t="s">
        <v>10</v>
      </c>
      <c r="B33" s="0" t="n">
        <v>1</v>
      </c>
      <c r="C33" s="0" t="n">
        <v>0</v>
      </c>
      <c r="D33" s="0" t="n">
        <v>2000</v>
      </c>
      <c r="E33" s="0" t="n">
        <v>0</v>
      </c>
      <c r="F33" s="0" t="n">
        <v>0</v>
      </c>
      <c r="G33" s="0" t="n">
        <v>0</v>
      </c>
      <c r="H33" s="0" t="n">
        <v>0</v>
      </c>
      <c r="I33" s="0" t="n">
        <v>0</v>
      </c>
      <c r="U33" s="0" t="s">
        <v>11</v>
      </c>
      <c r="V33" s="0" t="n">
        <v>1</v>
      </c>
      <c r="W33" s="0" t="n">
        <v>100</v>
      </c>
      <c r="X33" s="0" t="n">
        <v>2000</v>
      </c>
      <c r="Y33" s="4" t="n">
        <v>10.2703333333333</v>
      </c>
      <c r="Z33" s="3" t="n">
        <v>194.735646360066</v>
      </c>
      <c r="AA33" s="4" t="n">
        <v>6.303</v>
      </c>
      <c r="AB33" s="5" t="n">
        <v>0.325331</v>
      </c>
      <c r="AC33" s="5" t="n">
        <v>0.103991333333333</v>
      </c>
      <c r="AF33" s="0" t="n">
        <v>1500</v>
      </c>
      <c r="AG33" s="4" t="n">
        <v>13.4496666666667</v>
      </c>
      <c r="AH33" s="4" t="n">
        <v>6.961</v>
      </c>
      <c r="AI33" s="4" t="n">
        <v>2.43188888888889</v>
      </c>
      <c r="AL33" s="0" t="n">
        <v>150</v>
      </c>
      <c r="AM33" s="7" t="n">
        <f aca="false">AM15*$AK$27</f>
        <v>57.135772</v>
      </c>
      <c r="AN33" s="7" t="n">
        <f aca="false">AN15*$AK$27</f>
        <v>57.135772</v>
      </c>
      <c r="AO33" s="7" t="n">
        <f aca="false">AO15*$AK$27</f>
        <v>57.135772</v>
      </c>
      <c r="AP33" s="7" t="n">
        <f aca="false">AP15*$AK$27</f>
        <v>57.135772</v>
      </c>
      <c r="AQ33" s="7" t="n">
        <f aca="false">AQ15*$AK$27</f>
        <v>57.135772</v>
      </c>
      <c r="AR33" s="7" t="n">
        <f aca="false">AR15*$AK$27</f>
        <v>57.135772</v>
      </c>
    </row>
    <row r="34" customFormat="false" ht="12.8" hidden="false" customHeight="false" outlineLevel="0" collapsed="false">
      <c r="A34" s="0" t="s">
        <v>10</v>
      </c>
      <c r="B34" s="0" t="n">
        <v>1</v>
      </c>
      <c r="C34" s="0" t="n">
        <v>0</v>
      </c>
      <c r="D34" s="0" t="n">
        <v>3000</v>
      </c>
      <c r="E34" s="0" t="n">
        <v>0</v>
      </c>
      <c r="F34" s="0" t="n">
        <v>0</v>
      </c>
      <c r="G34" s="0" t="n">
        <v>0</v>
      </c>
      <c r="H34" s="0" t="n">
        <v>0</v>
      </c>
      <c r="I34" s="0" t="n">
        <v>0</v>
      </c>
      <c r="U34" s="0" t="s">
        <v>11</v>
      </c>
      <c r="V34" s="0" t="n">
        <v>1</v>
      </c>
      <c r="W34" s="0" t="n">
        <v>100</v>
      </c>
      <c r="X34" s="0" t="n">
        <v>3000</v>
      </c>
      <c r="Y34" s="4" t="n">
        <v>17.574</v>
      </c>
      <c r="Z34" s="3" t="n">
        <v>170.706725844998</v>
      </c>
      <c r="AA34" s="4" t="n">
        <v>10.824</v>
      </c>
      <c r="AB34" s="5" t="n">
        <v>0.487997</v>
      </c>
      <c r="AC34" s="5" t="n">
        <v>0.156042</v>
      </c>
      <c r="AF34" s="0" t="n">
        <v>2000</v>
      </c>
      <c r="AG34" s="4" t="n">
        <v>0</v>
      </c>
      <c r="AH34" s="4" t="n">
        <v>9.01</v>
      </c>
      <c r="AI34" s="4" t="n">
        <v>3.582</v>
      </c>
      <c r="AL34" s="0" t="n">
        <v>200</v>
      </c>
      <c r="AM34" s="7" t="n">
        <f aca="false">AM16*$AK$27</f>
        <v>76.18024879</v>
      </c>
      <c r="AN34" s="7" t="n">
        <f aca="false">AN16*$AK$27</f>
        <v>76.18024879</v>
      </c>
      <c r="AO34" s="7" t="n">
        <f aca="false">AO16*$AK$27</f>
        <v>76.18024879</v>
      </c>
      <c r="AP34" s="7" t="n">
        <f aca="false">AP16*$AK$27</f>
        <v>76.18024879</v>
      </c>
      <c r="AQ34" s="7" t="n">
        <f aca="false">AQ16*$AK$27</f>
        <v>76.18024879</v>
      </c>
      <c r="AR34" s="7" t="n">
        <f aca="false">AR16*$AK$27</f>
        <v>76.18024879</v>
      </c>
    </row>
    <row r="35" customFormat="false" ht="12.8" hidden="false" customHeight="false" outlineLevel="0" collapsed="false">
      <c r="A35" s="0" t="s">
        <v>0</v>
      </c>
      <c r="B35" s="0" t="s">
        <v>1</v>
      </c>
      <c r="C35" s="0" t="s">
        <v>2</v>
      </c>
      <c r="D35" s="0" t="s">
        <v>3</v>
      </c>
      <c r="E35" s="0" t="s">
        <v>4</v>
      </c>
      <c r="F35" s="0" t="s">
        <v>5</v>
      </c>
      <c r="G35" s="0" t="s">
        <v>6</v>
      </c>
      <c r="H35" s="0" t="s">
        <v>7</v>
      </c>
      <c r="I35" s="0" t="s">
        <v>8</v>
      </c>
      <c r="U35" s="0" t="s">
        <v>0</v>
      </c>
      <c r="V35" s="0" t="s">
        <v>1</v>
      </c>
      <c r="W35" s="0" t="s">
        <v>2</v>
      </c>
      <c r="X35" s="0" t="s">
        <v>3</v>
      </c>
      <c r="Y35" s="0" t="s">
        <v>4</v>
      </c>
      <c r="Z35" s="0" t="s">
        <v>5</v>
      </c>
      <c r="AA35" s="0" t="s">
        <v>6</v>
      </c>
      <c r="AB35" s="0" t="s">
        <v>7</v>
      </c>
      <c r="AC35" s="0" t="s">
        <v>8</v>
      </c>
      <c r="AF35" s="0" t="n">
        <v>3000</v>
      </c>
      <c r="AG35" s="4" t="n">
        <v>0</v>
      </c>
      <c r="AH35" s="4" t="n">
        <v>14.7586666666667</v>
      </c>
      <c r="AI35" s="4" t="n">
        <v>6.03688888888889</v>
      </c>
      <c r="AL35" s="0" t="n">
        <v>250</v>
      </c>
      <c r="AM35" s="7" t="n">
        <f aca="false">AM17*$AK$27</f>
        <v>95.22472558</v>
      </c>
      <c r="AN35" s="7" t="n">
        <f aca="false">AN17*$AK$27</f>
        <v>95.22472558</v>
      </c>
      <c r="AO35" s="7" t="n">
        <f aca="false">AO17*$AK$27</f>
        <v>95.22472558</v>
      </c>
      <c r="AP35" s="7" t="n">
        <f aca="false">AP17*$AK$27</f>
        <v>95.22472558</v>
      </c>
      <c r="AQ35" s="7" t="n">
        <f aca="false">AQ17*$AK$27</f>
        <v>95.22472558</v>
      </c>
      <c r="AR35" s="7" t="n">
        <f aca="false">AR17*$AK$27</f>
        <v>95.2255061233333</v>
      </c>
    </row>
    <row r="36" customFormat="false" ht="12.8" hidden="false" customHeight="false" outlineLevel="0" collapsed="false">
      <c r="A36" s="0" t="s">
        <v>10</v>
      </c>
      <c r="B36" s="0" t="n">
        <v>1</v>
      </c>
      <c r="C36" s="0" t="n">
        <v>100</v>
      </c>
      <c r="D36" s="0" t="n">
        <v>10</v>
      </c>
      <c r="E36" s="0" t="n">
        <v>1.354</v>
      </c>
      <c r="F36" s="3" t="n">
        <f aca="false">D36/E36</f>
        <v>7.38552437223043</v>
      </c>
      <c r="G36" s="0" t="n">
        <v>1.207</v>
      </c>
      <c r="H36" s="0" t="n">
        <v>0.001661</v>
      </c>
      <c r="I36" s="0" t="n">
        <v>0.00054</v>
      </c>
      <c r="N36" s="3"/>
      <c r="O36" s="3"/>
      <c r="U36" s="0" t="s">
        <v>12</v>
      </c>
      <c r="V36" s="0" t="n">
        <v>1</v>
      </c>
      <c r="W36" s="0" t="n">
        <v>100</v>
      </c>
      <c r="X36" s="0" t="n">
        <v>10</v>
      </c>
      <c r="Y36" s="4" t="n">
        <v>0.685666666666667</v>
      </c>
      <c r="Z36" s="3" t="n">
        <v>14.5843461351483</v>
      </c>
      <c r="AA36" s="4" t="n">
        <v>0.602333333333333</v>
      </c>
      <c r="AB36" s="5" t="n">
        <v>0.001661</v>
      </c>
      <c r="AC36" s="5" t="n">
        <v>0.000536</v>
      </c>
      <c r="AL36" s="0" t="n">
        <v>500</v>
      </c>
      <c r="AM36" s="7" t="n">
        <f aca="false">AM18*$AK$27</f>
        <v>190.45179279</v>
      </c>
      <c r="AN36" s="7" t="n">
        <f aca="false">AN18*$AK$27</f>
        <v>190.45179279</v>
      </c>
      <c r="AO36" s="7" t="n">
        <f aca="false">AO18*$AK$27</f>
        <v>190.45179279</v>
      </c>
      <c r="AP36" s="7" t="n">
        <f aca="false">AP18*$AK$27</f>
        <v>190.45179279</v>
      </c>
      <c r="AQ36" s="7" t="n">
        <f aca="false">AQ18*$AK$27</f>
        <v>190.45179279</v>
      </c>
      <c r="AR36" s="7" t="n">
        <f aca="false">AR18*$AK$27</f>
        <v>190.45179279</v>
      </c>
    </row>
    <row r="37" customFormat="false" ht="12.8" hidden="false" customHeight="false" outlineLevel="0" collapsed="false">
      <c r="A37" s="0" t="s">
        <v>10</v>
      </c>
      <c r="B37" s="0" t="n">
        <v>1</v>
      </c>
      <c r="C37" s="0" t="n">
        <v>100</v>
      </c>
      <c r="D37" s="0" t="n">
        <v>15</v>
      </c>
      <c r="E37" s="0" t="n">
        <v>0.926</v>
      </c>
      <c r="F37" s="3" t="n">
        <f aca="false">D37/E37</f>
        <v>16.1987041036717</v>
      </c>
      <c r="G37" s="0" t="n">
        <v>0.744</v>
      </c>
      <c r="H37" s="0" t="n">
        <v>0.00244</v>
      </c>
      <c r="I37" s="0" t="n">
        <v>0.000775</v>
      </c>
      <c r="N37" s="3"/>
      <c r="O37" s="3"/>
      <c r="U37" s="0" t="s">
        <v>12</v>
      </c>
      <c r="V37" s="0" t="n">
        <v>1</v>
      </c>
      <c r="W37" s="0" t="n">
        <v>100</v>
      </c>
      <c r="X37" s="0" t="n">
        <v>15</v>
      </c>
      <c r="Y37" s="4" t="n">
        <v>0.935333333333333</v>
      </c>
      <c r="Z37" s="3" t="n">
        <v>16.0370634354954</v>
      </c>
      <c r="AA37" s="4" t="n">
        <v>0.762666666666667</v>
      </c>
      <c r="AB37" s="5" t="n">
        <v>0.00244</v>
      </c>
      <c r="AC37" s="5" t="n">
        <v>0.000782</v>
      </c>
      <c r="AE37" s="0" t="s">
        <v>23</v>
      </c>
      <c r="AF37" s="0" t="s">
        <v>3</v>
      </c>
      <c r="AG37" s="0" t="s">
        <v>10</v>
      </c>
      <c r="AH37" s="0" t="s">
        <v>11</v>
      </c>
      <c r="AI37" s="0" t="s">
        <v>12</v>
      </c>
      <c r="AL37" s="0" t="n">
        <v>750</v>
      </c>
      <c r="AM37" s="7" t="n">
        <f aca="false">AM19*$AK$27</f>
        <v>0</v>
      </c>
      <c r="AN37" s="7" t="n">
        <f aca="false">AN19*$AK$27</f>
        <v>285.67651837</v>
      </c>
      <c r="AO37" s="7" t="n">
        <f aca="false">AO19*$AK$27</f>
        <v>285.677298913333</v>
      </c>
      <c r="AP37" s="7" t="n">
        <f aca="false">AP19*$AK$27</f>
        <v>285.67651837</v>
      </c>
      <c r="AQ37" s="7" t="n">
        <f aca="false">AQ19*$AK$27</f>
        <v>285.677298913333</v>
      </c>
      <c r="AR37" s="7" t="n">
        <f aca="false">AR19*$AK$27</f>
        <v>285.677298913333</v>
      </c>
    </row>
    <row r="38" customFormat="false" ht="12.8" hidden="false" customHeight="false" outlineLevel="0" collapsed="false">
      <c r="A38" s="0" t="s">
        <v>10</v>
      </c>
      <c r="B38" s="0" t="n">
        <v>1</v>
      </c>
      <c r="C38" s="0" t="n">
        <v>100</v>
      </c>
      <c r="D38" s="0" t="n">
        <v>20</v>
      </c>
      <c r="E38" s="0" t="n">
        <v>1.06</v>
      </c>
      <c r="F38" s="3" t="n">
        <f aca="false">D38/E38</f>
        <v>18.8679245283019</v>
      </c>
      <c r="G38" s="0" t="n">
        <v>0.892</v>
      </c>
      <c r="H38" s="0" t="n">
        <v>0.003253</v>
      </c>
      <c r="I38" s="0" t="n">
        <v>0.001042</v>
      </c>
      <c r="P38" s="3"/>
      <c r="U38" s="0" t="s">
        <v>12</v>
      </c>
      <c r="V38" s="0" t="n">
        <v>1</v>
      </c>
      <c r="W38" s="0" t="n">
        <v>100</v>
      </c>
      <c r="X38" s="0" t="n">
        <v>20</v>
      </c>
      <c r="Y38" s="4" t="n">
        <v>0.916333333333333</v>
      </c>
      <c r="Z38" s="3" t="n">
        <v>21.8261185885777</v>
      </c>
      <c r="AA38" s="4" t="n">
        <v>0.741333333333333</v>
      </c>
      <c r="AB38" s="5" t="n">
        <v>0.003253</v>
      </c>
      <c r="AC38" s="5" t="n">
        <v>0.00103933333333333</v>
      </c>
      <c r="AF38" s="0" t="n">
        <v>10</v>
      </c>
      <c r="AG38" s="3" t="n">
        <v>6.6006600660066</v>
      </c>
      <c r="AH38" s="3" t="n">
        <v>8.62316757688991</v>
      </c>
      <c r="AI38" s="3" t="n">
        <v>14.5843461351483</v>
      </c>
      <c r="AL38" s="0" t="n">
        <v>1000</v>
      </c>
      <c r="AM38" s="7" t="n">
        <f aca="false">AM20*$AK$27</f>
        <v>0</v>
      </c>
      <c r="AN38" s="7" t="n">
        <f aca="false">AN20*$AK$27</f>
        <v>380.90358558</v>
      </c>
      <c r="AO38" s="7" t="n">
        <f aca="false">AO20*$AK$27</f>
        <v>380.902024493333</v>
      </c>
      <c r="AP38" s="7" t="n">
        <f aca="false">AP20*$AK$27</f>
        <v>380.902805036667</v>
      </c>
      <c r="AQ38" s="7" t="n">
        <f aca="false">AQ20*$AK$27</f>
        <v>380.90358558</v>
      </c>
      <c r="AR38" s="7" t="n">
        <f aca="false">AR20*$AK$27</f>
        <v>380.90124395</v>
      </c>
    </row>
    <row r="39" customFormat="false" ht="12.8" hidden="false" customHeight="false" outlineLevel="0" collapsed="false">
      <c r="A39" s="0" t="s">
        <v>10</v>
      </c>
      <c r="B39" s="0" t="n">
        <v>1</v>
      </c>
      <c r="C39" s="0" t="n">
        <v>100</v>
      </c>
      <c r="D39" s="0" t="n">
        <v>25</v>
      </c>
      <c r="E39" s="0" t="n">
        <v>1.184</v>
      </c>
      <c r="F39" s="3" t="n">
        <f aca="false">D39/E39</f>
        <v>21.1148648648649</v>
      </c>
      <c r="G39" s="0" t="n">
        <v>1.004</v>
      </c>
      <c r="H39" s="0" t="n">
        <v>0.004067</v>
      </c>
      <c r="I39" s="0" t="n">
        <v>0.001295</v>
      </c>
      <c r="P39" s="3"/>
      <c r="U39" s="0" t="s">
        <v>12</v>
      </c>
      <c r="V39" s="0" t="n">
        <v>1</v>
      </c>
      <c r="W39" s="0" t="n">
        <v>100</v>
      </c>
      <c r="X39" s="0" t="n">
        <v>25</v>
      </c>
      <c r="Y39" s="4" t="n">
        <v>0.869</v>
      </c>
      <c r="Z39" s="3" t="n">
        <v>28.7686996547756</v>
      </c>
      <c r="AA39" s="4" t="n">
        <v>0.703333333333333</v>
      </c>
      <c r="AB39" s="5" t="n">
        <v>0.004067</v>
      </c>
      <c r="AC39" s="5" t="n">
        <v>0.00130166666666667</v>
      </c>
      <c r="AF39" s="0" t="n">
        <v>15</v>
      </c>
      <c r="AG39" s="3" t="n">
        <v>15.8339197748065</v>
      </c>
      <c r="AH39" s="3" t="n">
        <v>15.8730158730159</v>
      </c>
      <c r="AI39" s="3" t="n">
        <v>16.0370634354954</v>
      </c>
      <c r="AL39" s="0" t="n">
        <v>1500</v>
      </c>
      <c r="AM39" s="7" t="n">
        <f aca="false">AM21*$AK$27</f>
        <v>0</v>
      </c>
      <c r="AN39" s="7" t="n">
        <f aca="false">AN21*$AK$27</f>
        <v>571.35303674</v>
      </c>
      <c r="AO39" s="7" t="n">
        <f aca="false">AO21*$AK$27</f>
        <v>571.354597826667</v>
      </c>
      <c r="AP39" s="7" t="n">
        <f aca="false">AP21*$AK$27</f>
        <v>571.353817283333</v>
      </c>
      <c r="AQ39" s="7" t="n">
        <f aca="false">AQ21*$AK$27</f>
        <v>571.353817283333</v>
      </c>
      <c r="AR39" s="7" t="n">
        <f aca="false">AR21*$AK$27</f>
        <v>571.353817283333</v>
      </c>
    </row>
    <row r="40" customFormat="false" ht="12.8" hidden="false" customHeight="false" outlineLevel="0" collapsed="false">
      <c r="A40" s="0" t="s">
        <v>10</v>
      </c>
      <c r="B40" s="0" t="n">
        <v>1</v>
      </c>
      <c r="C40" s="0" t="n">
        <v>100</v>
      </c>
      <c r="D40" s="0" t="n">
        <v>50</v>
      </c>
      <c r="E40" s="0" t="n">
        <v>1.937</v>
      </c>
      <c r="F40" s="3" t="n">
        <f aca="false">D40/E40</f>
        <v>25.8131130614352</v>
      </c>
      <c r="G40" s="0" t="n">
        <v>1.737</v>
      </c>
      <c r="H40" s="0" t="n">
        <v>0.008133</v>
      </c>
      <c r="I40" s="0" t="n">
        <v>0.002613</v>
      </c>
      <c r="U40" s="0" t="s">
        <v>12</v>
      </c>
      <c r="V40" s="0" t="n">
        <v>1</v>
      </c>
      <c r="W40" s="0" t="n">
        <v>100</v>
      </c>
      <c r="X40" s="0" t="n">
        <v>50</v>
      </c>
      <c r="Y40" s="4" t="n">
        <v>0.913666666666667</v>
      </c>
      <c r="Z40" s="3" t="n">
        <v>54.7245530828165</v>
      </c>
      <c r="AA40" s="4" t="n">
        <v>0.709666666666667</v>
      </c>
      <c r="AB40" s="5" t="n">
        <v>0.008133</v>
      </c>
      <c r="AC40" s="5" t="n">
        <v>0.00260233333333333</v>
      </c>
      <c r="AF40" s="0" t="n">
        <v>20</v>
      </c>
      <c r="AG40" s="3" t="n">
        <v>18.2038834951456</v>
      </c>
      <c r="AH40" s="3" t="n">
        <v>21.5208034433286</v>
      </c>
      <c r="AI40" s="3" t="n">
        <v>21.8261185885777</v>
      </c>
      <c r="AL40" s="0" t="n">
        <v>2000</v>
      </c>
      <c r="AM40" s="7" t="n">
        <f aca="false">AM22*$AK$27</f>
        <v>0</v>
      </c>
      <c r="AN40" s="7" t="n">
        <f aca="false">AN22*$AK$27</f>
        <v>761.80482953</v>
      </c>
      <c r="AO40" s="7" t="n">
        <f aca="false">AO22*$AK$27</f>
        <v>761.805610073334</v>
      </c>
      <c r="AP40" s="7" t="n">
        <f aca="false">AP22*$AK$27</f>
        <v>0</v>
      </c>
      <c r="AQ40" s="7" t="n">
        <f aca="false">AQ22*$AK$27</f>
        <v>761.805610073334</v>
      </c>
      <c r="AR40" s="7" t="n">
        <f aca="false">AR22*$AK$27</f>
        <v>761.80482953</v>
      </c>
    </row>
    <row r="41" customFormat="false" ht="12.8" hidden="false" customHeight="false" outlineLevel="0" collapsed="false">
      <c r="A41" s="0" t="s">
        <v>10</v>
      </c>
      <c r="B41" s="0" t="n">
        <v>1</v>
      </c>
      <c r="C41" s="0" t="n">
        <v>100</v>
      </c>
      <c r="D41" s="0" t="n">
        <v>75</v>
      </c>
      <c r="E41" s="0" t="n">
        <v>2.766</v>
      </c>
      <c r="F41" s="3" t="n">
        <f aca="false">D41/E41</f>
        <v>27.114967462039</v>
      </c>
      <c r="G41" s="0" t="n">
        <v>2.554</v>
      </c>
      <c r="H41" s="0" t="n">
        <v>0.0122</v>
      </c>
      <c r="I41" s="0" t="n">
        <v>0.003896</v>
      </c>
      <c r="U41" s="0" t="s">
        <v>12</v>
      </c>
      <c r="V41" s="0" t="n">
        <v>1</v>
      </c>
      <c r="W41" s="0" t="n">
        <v>100</v>
      </c>
      <c r="X41" s="0" t="n">
        <v>75</v>
      </c>
      <c r="Y41" s="4" t="n">
        <v>0.833666666666667</v>
      </c>
      <c r="Z41" s="3" t="n">
        <v>89.9640143942423</v>
      </c>
      <c r="AA41" s="4" t="n">
        <v>0.624333333333333</v>
      </c>
      <c r="AB41" s="5" t="n">
        <v>0.0122</v>
      </c>
      <c r="AC41" s="5" t="n">
        <v>0.00389733333333333</v>
      </c>
      <c r="AF41" s="0" t="n">
        <v>25</v>
      </c>
      <c r="AG41" s="3" t="n">
        <v>20.4694323144105</v>
      </c>
      <c r="AH41" s="3" t="n">
        <v>27.3622765414082</v>
      </c>
      <c r="AI41" s="3" t="n">
        <v>28.7686996547756</v>
      </c>
      <c r="AL41" s="0" t="n">
        <v>3000</v>
      </c>
      <c r="AM41" s="7" t="n">
        <f aca="false">AM23*$AK$27</f>
        <v>0</v>
      </c>
      <c r="AN41" s="7" t="n">
        <f aca="false">AN23*$AK$27</f>
        <v>1142.70841511</v>
      </c>
      <c r="AO41" s="7" t="n">
        <f aca="false">AO23*$AK$27</f>
        <v>1142.70919565333</v>
      </c>
      <c r="AP41" s="7" t="n">
        <f aca="false">AP23*$AK$27</f>
        <v>0</v>
      </c>
      <c r="AQ41" s="7" t="n">
        <f aca="false">AQ23*$AK$27</f>
        <v>1142.70841511</v>
      </c>
      <c r="AR41" s="7" t="n">
        <f aca="false">AR23*$AK$27</f>
        <v>1142.70685402333</v>
      </c>
    </row>
    <row r="42" customFormat="false" ht="12.8" hidden="false" customHeight="false" outlineLevel="0" collapsed="false">
      <c r="A42" s="0" t="s">
        <v>10</v>
      </c>
      <c r="B42" s="0" t="n">
        <v>1</v>
      </c>
      <c r="C42" s="0" t="n">
        <v>100</v>
      </c>
      <c r="D42" s="0" t="n">
        <v>100</v>
      </c>
      <c r="E42" s="0" t="n">
        <v>4.454</v>
      </c>
      <c r="F42" s="3" t="n">
        <f aca="false">D42/E42</f>
        <v>22.4517287831163</v>
      </c>
      <c r="G42" s="0" t="n">
        <v>4.229</v>
      </c>
      <c r="H42" s="0" t="n">
        <v>0.016266</v>
      </c>
      <c r="I42" s="0" t="n">
        <v>0.005197</v>
      </c>
      <c r="U42" s="0" t="s">
        <v>12</v>
      </c>
      <c r="V42" s="0" t="n">
        <v>1</v>
      </c>
      <c r="W42" s="0" t="n">
        <v>100</v>
      </c>
      <c r="X42" s="0" t="n">
        <v>100</v>
      </c>
      <c r="Y42" s="4" t="n">
        <v>1.26</v>
      </c>
      <c r="Z42" s="3" t="n">
        <v>79.3650793650794</v>
      </c>
      <c r="AA42" s="4" t="n">
        <v>0.937333333333333</v>
      </c>
      <c r="AB42" s="5" t="n">
        <v>0.016267</v>
      </c>
      <c r="AC42" s="5" t="n">
        <v>0.00520766666666667</v>
      </c>
      <c r="AF42" s="0" t="n">
        <v>50</v>
      </c>
      <c r="AG42" s="3" t="n">
        <v>25.4452926208651</v>
      </c>
      <c r="AH42" s="3" t="n">
        <v>52.7426160337553</v>
      </c>
      <c r="AI42" s="3" t="n">
        <v>54.7245530828165</v>
      </c>
    </row>
    <row r="43" customFormat="false" ht="12.8" hidden="false" customHeight="false" outlineLevel="0" collapsed="false">
      <c r="A43" s="0" t="s">
        <v>10</v>
      </c>
      <c r="B43" s="0" t="n">
        <v>1</v>
      </c>
      <c r="C43" s="0" t="n">
        <v>100</v>
      </c>
      <c r="D43" s="0" t="n">
        <v>150</v>
      </c>
      <c r="E43" s="0" t="n">
        <v>6.08</v>
      </c>
      <c r="F43" s="3" t="n">
        <f aca="false">D43/E43</f>
        <v>24.671052631579</v>
      </c>
      <c r="G43" s="0" t="n">
        <v>5.607</v>
      </c>
      <c r="H43" s="0" t="n">
        <v>0.0244</v>
      </c>
      <c r="I43" s="0" t="n">
        <v>0.00781</v>
      </c>
      <c r="U43" s="0" t="s">
        <v>12</v>
      </c>
      <c r="V43" s="0" t="n">
        <v>1</v>
      </c>
      <c r="W43" s="0" t="n">
        <v>100</v>
      </c>
      <c r="X43" s="0" t="n">
        <v>150</v>
      </c>
      <c r="Y43" s="4" t="n">
        <v>1.68966666666667</v>
      </c>
      <c r="Z43" s="3" t="n">
        <v>88.7749062931545</v>
      </c>
      <c r="AA43" s="4" t="n">
        <v>1.21666666666667</v>
      </c>
      <c r="AB43" s="5" t="n">
        <v>0.0244</v>
      </c>
      <c r="AC43" s="5" t="n">
        <v>0.007808</v>
      </c>
      <c r="AF43" s="0" t="n">
        <v>75</v>
      </c>
      <c r="AG43" s="3" t="n">
        <v>22.2595963593194</v>
      </c>
      <c r="AH43" s="3" t="n">
        <v>49.9777876499334</v>
      </c>
      <c r="AI43" s="3" t="n">
        <v>89.9640143942423</v>
      </c>
    </row>
    <row r="44" customFormat="false" ht="12.8" hidden="false" customHeight="false" outlineLevel="0" collapsed="false">
      <c r="A44" s="0" t="s">
        <v>10</v>
      </c>
      <c r="B44" s="0" t="n">
        <v>1</v>
      </c>
      <c r="C44" s="0" t="n">
        <v>100</v>
      </c>
      <c r="D44" s="0" t="n">
        <v>200</v>
      </c>
      <c r="E44" s="0" t="n">
        <v>7.475</v>
      </c>
      <c r="F44" s="3" t="n">
        <f aca="false">D44/E44</f>
        <v>26.7558528428094</v>
      </c>
      <c r="G44" s="0" t="n">
        <v>6.959</v>
      </c>
      <c r="H44" s="0" t="n">
        <v>0.032533</v>
      </c>
      <c r="I44" s="0" t="n">
        <v>0.010403</v>
      </c>
      <c r="U44" s="0" t="s">
        <v>12</v>
      </c>
      <c r="V44" s="0" t="n">
        <v>1</v>
      </c>
      <c r="W44" s="0" t="n">
        <v>100</v>
      </c>
      <c r="X44" s="0" t="n">
        <v>200</v>
      </c>
      <c r="Y44" s="4" t="n">
        <v>2.00033333333333</v>
      </c>
      <c r="Z44" s="3" t="n">
        <v>99.9833361106482</v>
      </c>
      <c r="AA44" s="4" t="n">
        <v>1.54</v>
      </c>
      <c r="AB44" s="5" t="n">
        <v>0.032533</v>
      </c>
      <c r="AC44" s="5" t="n">
        <v>0.010405</v>
      </c>
      <c r="AF44" s="0" t="n">
        <v>100</v>
      </c>
      <c r="AG44" s="3" t="n">
        <v>22.5496091401082</v>
      </c>
      <c r="AH44" s="3" t="n">
        <v>55.4938956714761</v>
      </c>
      <c r="AI44" s="3" t="n">
        <v>79.3650793650794</v>
      </c>
    </row>
    <row r="45" customFormat="false" ht="12.8" hidden="false" customHeight="false" outlineLevel="0" collapsed="false">
      <c r="A45" s="0" t="s">
        <v>10</v>
      </c>
      <c r="B45" s="0" t="n">
        <v>1</v>
      </c>
      <c r="C45" s="0" t="n">
        <v>100</v>
      </c>
      <c r="D45" s="0" t="n">
        <v>250</v>
      </c>
      <c r="E45" s="0" t="n">
        <v>10.03</v>
      </c>
      <c r="F45" s="3" t="n">
        <f aca="false">D45/E45</f>
        <v>24.9252243270189</v>
      </c>
      <c r="G45" s="0" t="n">
        <v>9.4</v>
      </c>
      <c r="H45" s="0" t="n">
        <v>0.040666</v>
      </c>
      <c r="I45" s="0" t="n">
        <v>0.012988</v>
      </c>
      <c r="U45" s="0" t="s">
        <v>12</v>
      </c>
      <c r="V45" s="0" t="n">
        <v>1</v>
      </c>
      <c r="W45" s="0" t="n">
        <v>100</v>
      </c>
      <c r="X45" s="0" t="n">
        <v>250</v>
      </c>
      <c r="Y45" s="4" t="n">
        <v>1.765</v>
      </c>
      <c r="Z45" s="3" t="n">
        <v>141.643059490085</v>
      </c>
      <c r="AA45" s="4" t="n">
        <v>1.243</v>
      </c>
      <c r="AB45" s="5" t="n">
        <v>0.040666</v>
      </c>
      <c r="AC45" s="5" t="n">
        <v>0.013001</v>
      </c>
      <c r="AF45" s="0" t="n">
        <v>150</v>
      </c>
      <c r="AG45" s="3" t="n">
        <v>24.8426631334879</v>
      </c>
      <c r="AH45" s="3" t="n">
        <v>86.6050808314088</v>
      </c>
      <c r="AI45" s="3" t="n">
        <v>88.7749062931545</v>
      </c>
    </row>
    <row r="46" customFormat="false" ht="12.8" hidden="false" customHeight="false" outlineLevel="0" collapsed="false">
      <c r="A46" s="0" t="s">
        <v>10</v>
      </c>
      <c r="B46" s="0" t="n">
        <v>1</v>
      </c>
      <c r="C46" s="0" t="n">
        <v>60</v>
      </c>
      <c r="D46" s="0" t="n">
        <v>500</v>
      </c>
      <c r="E46" s="0" t="n">
        <v>11.216</v>
      </c>
      <c r="F46" s="3" t="n">
        <f aca="false">D46/E46</f>
        <v>44.5791726105564</v>
      </c>
      <c r="G46" s="0" t="n">
        <v>10.156</v>
      </c>
      <c r="H46" s="0" t="n">
        <v>0.081333</v>
      </c>
      <c r="I46" s="0" t="n">
        <v>0.015513</v>
      </c>
      <c r="U46" s="0" t="s">
        <v>12</v>
      </c>
      <c r="V46" s="0" t="n">
        <v>1</v>
      </c>
      <c r="W46" s="0" t="n">
        <v>100</v>
      </c>
      <c r="X46" s="0" t="n">
        <v>500</v>
      </c>
      <c r="Y46" s="4" t="n">
        <v>2.95033333333333</v>
      </c>
      <c r="Z46" s="3" t="n">
        <v>169.472376002712</v>
      </c>
      <c r="AA46" s="4" t="n">
        <v>1.86433333333333</v>
      </c>
      <c r="AB46" s="5" t="n">
        <v>0.081333</v>
      </c>
      <c r="AC46" s="5" t="n">
        <v>0.0259923333333333</v>
      </c>
      <c r="AF46" s="0" t="n">
        <v>200</v>
      </c>
      <c r="AG46" s="3" t="n">
        <v>26.8048606147248</v>
      </c>
      <c r="AH46" s="3" t="n">
        <v>125.208681135225</v>
      </c>
      <c r="AI46" s="3" t="n">
        <v>99.9833361106482</v>
      </c>
    </row>
    <row r="47" customFormat="false" ht="12.8" hidden="false" customHeight="false" outlineLevel="0" collapsed="false">
      <c r="A47" s="0" t="s">
        <v>10</v>
      </c>
      <c r="B47" s="0" t="n">
        <v>1</v>
      </c>
      <c r="C47" s="0" t="n">
        <v>0</v>
      </c>
      <c r="D47" s="0" t="n">
        <v>750</v>
      </c>
      <c r="E47" s="0" t="n">
        <v>0</v>
      </c>
      <c r="F47" s="0" t="n">
        <v>0</v>
      </c>
      <c r="G47" s="0" t="n">
        <v>0</v>
      </c>
      <c r="H47" s="0" t="n">
        <v>0</v>
      </c>
      <c r="I47" s="0" t="n">
        <v>0</v>
      </c>
      <c r="U47" s="0" t="s">
        <v>12</v>
      </c>
      <c r="V47" s="0" t="n">
        <v>1</v>
      </c>
      <c r="W47" s="0" t="n">
        <v>100</v>
      </c>
      <c r="X47" s="0" t="n">
        <v>750</v>
      </c>
      <c r="Y47" s="4" t="n">
        <v>4.357</v>
      </c>
      <c r="Z47" s="3" t="n">
        <v>172.136791370209</v>
      </c>
      <c r="AA47" s="4" t="n">
        <v>2.78766666666667</v>
      </c>
      <c r="AB47" s="5" t="n">
        <v>0.121999333333333</v>
      </c>
      <c r="AC47" s="5" t="n">
        <v>0.0389863333333333</v>
      </c>
      <c r="AF47" s="0" t="n">
        <v>250</v>
      </c>
      <c r="AG47" s="3" t="n">
        <v>26.1305832346178</v>
      </c>
      <c r="AH47" s="3" t="n">
        <v>103.050288540808</v>
      </c>
      <c r="AI47" s="3" t="n">
        <v>141.643059490085</v>
      </c>
    </row>
    <row r="48" customFormat="false" ht="12.8" hidden="false" customHeight="false" outlineLevel="0" collapsed="false">
      <c r="A48" s="0" t="s">
        <v>10</v>
      </c>
      <c r="B48" s="0" t="n">
        <v>1</v>
      </c>
      <c r="C48" s="0" t="n">
        <v>0</v>
      </c>
      <c r="D48" s="0" t="n">
        <v>1000</v>
      </c>
      <c r="E48" s="0" t="n">
        <v>0</v>
      </c>
      <c r="F48" s="0" t="n">
        <v>0</v>
      </c>
      <c r="G48" s="0" t="n">
        <v>0</v>
      </c>
      <c r="H48" s="0" t="n">
        <v>0</v>
      </c>
      <c r="I48" s="0" t="n">
        <v>0</v>
      </c>
      <c r="U48" s="0" t="s">
        <v>12</v>
      </c>
      <c r="V48" s="0" t="n">
        <v>1</v>
      </c>
      <c r="W48" s="0" t="n">
        <v>100</v>
      </c>
      <c r="X48" s="0" t="n">
        <v>1000</v>
      </c>
      <c r="Y48" s="4" t="n">
        <v>5.06933333333333</v>
      </c>
      <c r="Z48" s="3" t="n">
        <v>197.264597580221</v>
      </c>
      <c r="AA48" s="4" t="n">
        <v>3.24866666666667</v>
      </c>
      <c r="AB48" s="5" t="n">
        <v>0.162665333333333</v>
      </c>
      <c r="AC48" s="5" t="n">
        <v>0.052008</v>
      </c>
      <c r="AF48" s="0" t="n">
        <v>500</v>
      </c>
      <c r="AG48" s="3" t="n">
        <v>43.0873524258179</v>
      </c>
      <c r="AH48" s="3" t="n">
        <v>160.034140616665</v>
      </c>
      <c r="AI48" s="3" t="n">
        <v>169.472376002712</v>
      </c>
    </row>
    <row r="49" customFormat="false" ht="12.8" hidden="false" customHeight="false" outlineLevel="0" collapsed="false">
      <c r="A49" s="0" t="s">
        <v>10</v>
      </c>
      <c r="B49" s="0" t="n">
        <v>1</v>
      </c>
      <c r="C49" s="0" t="n">
        <v>0</v>
      </c>
      <c r="D49" s="0" t="n">
        <v>1500</v>
      </c>
      <c r="E49" s="0" t="n">
        <v>0</v>
      </c>
      <c r="F49" s="0" t="n">
        <v>0</v>
      </c>
      <c r="G49" s="0" t="n">
        <v>0</v>
      </c>
      <c r="H49" s="0" t="n">
        <v>0</v>
      </c>
      <c r="I49" s="0" t="n">
        <v>0</v>
      </c>
      <c r="U49" s="0" t="s">
        <v>12</v>
      </c>
      <c r="V49" s="0" t="n">
        <v>1</v>
      </c>
      <c r="W49" s="0" t="n">
        <v>100</v>
      </c>
      <c r="X49" s="0" t="n">
        <v>1500</v>
      </c>
      <c r="Y49" s="4" t="n">
        <v>7.29566666666667</v>
      </c>
      <c r="Z49" s="3" t="n">
        <v>205.601498606479</v>
      </c>
      <c r="AA49" s="4" t="n">
        <v>4.44566666666667</v>
      </c>
      <c r="AB49" s="5" t="n">
        <v>0.243998666666667</v>
      </c>
      <c r="AC49" s="5" t="n">
        <v>0.0780093333333333</v>
      </c>
      <c r="AF49" s="0" t="n">
        <v>750</v>
      </c>
      <c r="AH49" s="3" t="n">
        <v>165.04071004181</v>
      </c>
      <c r="AI49" s="3" t="n">
        <v>172.136791370209</v>
      </c>
    </row>
    <row r="50" customFormat="false" ht="12.8" hidden="false" customHeight="false" outlineLevel="0" collapsed="false">
      <c r="A50" s="0" t="s">
        <v>10</v>
      </c>
      <c r="B50" s="0" t="n">
        <v>1</v>
      </c>
      <c r="C50" s="0" t="n">
        <v>0</v>
      </c>
      <c r="D50" s="0" t="n">
        <v>2000</v>
      </c>
      <c r="E50" s="0" t="n">
        <v>0</v>
      </c>
      <c r="F50" s="0" t="n">
        <v>0</v>
      </c>
      <c r="G50" s="0" t="n">
        <v>0</v>
      </c>
      <c r="H50" s="0" t="n">
        <v>0</v>
      </c>
      <c r="I50" s="0" t="n">
        <v>0</v>
      </c>
      <c r="U50" s="0" t="s">
        <v>12</v>
      </c>
      <c r="V50" s="0" t="n">
        <v>1</v>
      </c>
      <c r="W50" s="0" t="n">
        <v>100</v>
      </c>
      <c r="X50" s="0" t="n">
        <v>2000</v>
      </c>
      <c r="Y50" s="4" t="n">
        <v>10.746</v>
      </c>
      <c r="Z50" s="3" t="n">
        <v>186.115764005211</v>
      </c>
      <c r="AA50" s="4" t="n">
        <v>6.56166666666667</v>
      </c>
      <c r="AB50" s="5" t="n">
        <v>0.325331333333333</v>
      </c>
      <c r="AC50" s="5" t="n">
        <v>0.103996666666667</v>
      </c>
      <c r="AF50" s="0" t="n">
        <v>1000</v>
      </c>
      <c r="AH50" s="3" t="n">
        <v>169.176112332939</v>
      </c>
      <c r="AI50" s="3" t="n">
        <v>197.264597580221</v>
      </c>
    </row>
    <row r="51" customFormat="false" ht="12.8" hidden="false" customHeight="false" outlineLevel="0" collapsed="false">
      <c r="A51" s="0" t="s">
        <v>10</v>
      </c>
      <c r="B51" s="0" t="n">
        <v>1</v>
      </c>
      <c r="C51" s="0" t="n">
        <v>0</v>
      </c>
      <c r="D51" s="0" t="n">
        <v>3000</v>
      </c>
      <c r="E51" s="0" t="n">
        <v>0</v>
      </c>
      <c r="F51" s="0" t="n">
        <v>0</v>
      </c>
      <c r="G51" s="0" t="n">
        <v>0</v>
      </c>
      <c r="H51" s="0" t="n">
        <v>0</v>
      </c>
      <c r="I51" s="0" t="n">
        <v>0</v>
      </c>
      <c r="U51" s="0" t="s">
        <v>12</v>
      </c>
      <c r="V51" s="0" t="n">
        <v>1</v>
      </c>
      <c r="W51" s="0" t="n">
        <v>100</v>
      </c>
      <c r="X51" s="0" t="n">
        <v>3000</v>
      </c>
      <c r="Y51" s="4" t="n">
        <v>18.1106666666667</v>
      </c>
      <c r="Z51" s="3" t="n">
        <v>165.648236766546</v>
      </c>
      <c r="AA51" s="4" t="n">
        <v>11.3566666666667</v>
      </c>
      <c r="AB51" s="5" t="n">
        <v>0.487997333333333</v>
      </c>
      <c r="AC51" s="5" t="n">
        <v>0.155961</v>
      </c>
      <c r="AF51" s="0" t="n">
        <v>1500</v>
      </c>
      <c r="AH51" s="3" t="n">
        <v>185.116623472788</v>
      </c>
      <c r="AI51" s="3" t="n">
        <v>205.601498606479</v>
      </c>
    </row>
    <row r="52" customFormat="false" ht="12.8" hidden="false" customHeight="false" outlineLevel="0" collapsed="false">
      <c r="A52" s="0" t="s">
        <v>0</v>
      </c>
      <c r="B52" s="0" t="s">
        <v>1</v>
      </c>
      <c r="C52" s="0" t="s">
        <v>2</v>
      </c>
      <c r="D52" s="0" t="s">
        <v>3</v>
      </c>
      <c r="E52" s="0" t="s">
        <v>4</v>
      </c>
      <c r="G52" s="0" t="s">
        <v>6</v>
      </c>
      <c r="H52" s="0" t="s">
        <v>7</v>
      </c>
      <c r="I52" s="0" t="s">
        <v>8</v>
      </c>
      <c r="K52" s="0" t="s">
        <v>0</v>
      </c>
      <c r="L52" s="0" t="s">
        <v>1</v>
      </c>
      <c r="M52" s="0" t="s">
        <v>2</v>
      </c>
      <c r="N52" s="0" t="s">
        <v>3</v>
      </c>
      <c r="O52" s="0" t="s">
        <v>4</v>
      </c>
      <c r="P52" s="0" t="s">
        <v>5</v>
      </c>
      <c r="Q52" s="0" t="s">
        <v>6</v>
      </c>
      <c r="R52" s="0" t="s">
        <v>7</v>
      </c>
      <c r="S52" s="0" t="s">
        <v>8</v>
      </c>
      <c r="U52" s="0" t="s">
        <v>0</v>
      </c>
      <c r="V52" s="0" t="s">
        <v>1</v>
      </c>
      <c r="W52" s="0" t="s">
        <v>2</v>
      </c>
      <c r="X52" s="0" t="s">
        <v>3</v>
      </c>
      <c r="Y52" s="0" t="s">
        <v>4</v>
      </c>
      <c r="Z52" s="0" t="s">
        <v>5</v>
      </c>
      <c r="AA52" s="0" t="s">
        <v>6</v>
      </c>
      <c r="AB52" s="0" t="s">
        <v>7</v>
      </c>
      <c r="AC52" s="0" t="s">
        <v>8</v>
      </c>
      <c r="AF52" s="0" t="n">
        <v>2000</v>
      </c>
      <c r="AH52" s="3" t="n">
        <v>194.735646360066</v>
      </c>
      <c r="AI52" s="3" t="n">
        <v>186.115764005211</v>
      </c>
    </row>
    <row r="53" customFormat="false" ht="12.8" hidden="false" customHeight="false" outlineLevel="0" collapsed="false">
      <c r="A53" s="0" t="s">
        <v>11</v>
      </c>
      <c r="B53" s="0" t="n">
        <v>1</v>
      </c>
      <c r="C53" s="0" t="n">
        <v>100</v>
      </c>
      <c r="D53" s="0" t="n">
        <v>10</v>
      </c>
      <c r="E53" s="0" t="n">
        <v>1.399</v>
      </c>
      <c r="G53" s="0" t="n">
        <v>1.201</v>
      </c>
      <c r="H53" s="0" t="n">
        <v>0.001661</v>
      </c>
      <c r="I53" s="0" t="n">
        <v>0.00054</v>
      </c>
      <c r="K53" s="0" t="s">
        <v>11</v>
      </c>
      <c r="L53" s="0" t="n">
        <v>1</v>
      </c>
      <c r="M53" s="0" t="n">
        <v>100</v>
      </c>
      <c r="N53" s="0" t="n">
        <v>10</v>
      </c>
      <c r="O53" s="4" t="n">
        <f aca="false">(E53+E70+E87)/3</f>
        <v>1.15966666666667</v>
      </c>
      <c r="P53" s="3" t="n">
        <f aca="false">(N53/O53)</f>
        <v>8.62316757688991</v>
      </c>
      <c r="Q53" s="4" t="n">
        <f aca="false">(G53+G70+G87)/3</f>
        <v>1.00533333333333</v>
      </c>
      <c r="R53" s="5" t="n">
        <f aca="false">(H53+H70+H87)/3</f>
        <v>0.001661</v>
      </c>
      <c r="S53" s="5" t="n">
        <f aca="false">(I53+I70+I87)/3</f>
        <v>0.000538</v>
      </c>
      <c r="U53" s="0" t="s">
        <v>10</v>
      </c>
      <c r="V53" s="0" t="n">
        <v>5</v>
      </c>
      <c r="W53" s="0" t="n">
        <v>100</v>
      </c>
      <c r="X53" s="0" t="n">
        <v>10</v>
      </c>
      <c r="Y53" s="4" t="n">
        <v>0.965666666666667</v>
      </c>
      <c r="Z53" s="3" t="n">
        <v>10.3555402140145</v>
      </c>
      <c r="AA53" s="4" t="n">
        <v>0.800333333333334</v>
      </c>
      <c r="AB53" s="5" t="n">
        <v>0.001661</v>
      </c>
      <c r="AC53" s="5" t="n">
        <v>0.000539</v>
      </c>
      <c r="AF53" s="0" t="n">
        <v>3000</v>
      </c>
      <c r="AH53" s="3" t="n">
        <v>170.706725844998</v>
      </c>
      <c r="AI53" s="3" t="n">
        <v>165.648236766546</v>
      </c>
    </row>
    <row r="54" customFormat="false" ht="12.8" hidden="false" customHeight="false" outlineLevel="0" collapsed="false">
      <c r="A54" s="0" t="s">
        <v>11</v>
      </c>
      <c r="B54" s="0" t="n">
        <v>1</v>
      </c>
      <c r="C54" s="0" t="n">
        <v>100</v>
      </c>
      <c r="D54" s="0" t="n">
        <v>15</v>
      </c>
      <c r="E54" s="0" t="n">
        <v>0.98</v>
      </c>
      <c r="G54" s="0" t="n">
        <v>0.8</v>
      </c>
      <c r="H54" s="0" t="n">
        <v>0.00244</v>
      </c>
      <c r="I54" s="0" t="n">
        <v>0.000781</v>
      </c>
      <c r="K54" s="0" t="s">
        <v>11</v>
      </c>
      <c r="L54" s="0" t="n">
        <v>1</v>
      </c>
      <c r="M54" s="0" t="n">
        <v>100</v>
      </c>
      <c r="N54" s="0" t="n">
        <v>15</v>
      </c>
      <c r="O54" s="4" t="n">
        <f aca="false">(E54+E71+E88)/3</f>
        <v>0.945</v>
      </c>
      <c r="P54" s="3" t="n">
        <f aca="false">(N54/O54)</f>
        <v>15.8730158730159</v>
      </c>
      <c r="Q54" s="4" t="n">
        <f aca="false">(G54+G71+G88)/3</f>
        <v>0.775</v>
      </c>
      <c r="R54" s="5" t="n">
        <f aca="false">(H54+H71+H88)/3</f>
        <v>0.00244</v>
      </c>
      <c r="S54" s="5" t="n">
        <f aca="false">(I54+I71+I88)/3</f>
        <v>0.000776333333333333</v>
      </c>
      <c r="U54" s="0" t="s">
        <v>10</v>
      </c>
      <c r="V54" s="0" t="n">
        <v>5</v>
      </c>
      <c r="W54" s="0" t="n">
        <v>100</v>
      </c>
      <c r="X54" s="0" t="n">
        <v>15</v>
      </c>
      <c r="Y54" s="4" t="n">
        <v>0.882666666666667</v>
      </c>
      <c r="Z54" s="3" t="n">
        <v>16.9939577039275</v>
      </c>
      <c r="AA54" s="4" t="n">
        <v>0.697333333333333</v>
      </c>
      <c r="AB54" s="5" t="n">
        <v>0.00244</v>
      </c>
      <c r="AC54" s="5" t="n">
        <v>0.00078</v>
      </c>
    </row>
    <row r="55" customFormat="false" ht="12.8" hidden="false" customHeight="false" outlineLevel="0" collapsed="false">
      <c r="A55" s="0" t="s">
        <v>11</v>
      </c>
      <c r="B55" s="0" t="n">
        <v>1</v>
      </c>
      <c r="C55" s="0" t="n">
        <v>100</v>
      </c>
      <c r="D55" s="0" t="n">
        <v>20</v>
      </c>
      <c r="E55" s="0" t="n">
        <v>0.94</v>
      </c>
      <c r="G55" s="0" t="n">
        <v>0.77</v>
      </c>
      <c r="H55" s="0" t="n">
        <v>0.003253</v>
      </c>
      <c r="I55" s="0" t="n">
        <v>0.001034</v>
      </c>
      <c r="K55" s="0" t="s">
        <v>11</v>
      </c>
      <c r="L55" s="0" t="n">
        <v>1</v>
      </c>
      <c r="M55" s="0" t="n">
        <v>100</v>
      </c>
      <c r="N55" s="0" t="n">
        <v>20</v>
      </c>
      <c r="O55" s="4" t="n">
        <f aca="false">(E55+E72+E89)/3</f>
        <v>0.929333333333333</v>
      </c>
      <c r="P55" s="3" t="n">
        <f aca="false">(N55/O55)</f>
        <v>21.5208034433286</v>
      </c>
      <c r="Q55" s="4" t="n">
        <f aca="false">(G55+G72+G89)/3</f>
        <v>0.741666666666667</v>
      </c>
      <c r="R55" s="5" t="n">
        <f aca="false">(H55+H72+H89)/3</f>
        <v>0.003253</v>
      </c>
      <c r="S55" s="5" t="n">
        <f aca="false">(I55+I72+I89)/3</f>
        <v>0.00103666666666667</v>
      </c>
      <c r="U55" s="0" t="s">
        <v>10</v>
      </c>
      <c r="V55" s="0" t="n">
        <v>5</v>
      </c>
      <c r="W55" s="0" t="n">
        <v>100</v>
      </c>
      <c r="X55" s="0" t="n">
        <v>20</v>
      </c>
      <c r="Y55" s="4" t="n">
        <v>0.981666666666667</v>
      </c>
      <c r="Z55" s="3" t="n">
        <v>20.3735144312394</v>
      </c>
      <c r="AA55" s="4" t="n">
        <v>0.796</v>
      </c>
      <c r="AB55" s="5" t="n">
        <v>0.003253</v>
      </c>
      <c r="AC55" s="5" t="n">
        <v>0.001041</v>
      </c>
      <c r="AE55" s="0" t="s">
        <v>24</v>
      </c>
      <c r="AF55" s="0" t="s">
        <v>3</v>
      </c>
      <c r="AG55" s="0" t="s">
        <v>10</v>
      </c>
      <c r="AH55" s="0" t="s">
        <v>11</v>
      </c>
      <c r="AI55" s="0" t="s">
        <v>12</v>
      </c>
    </row>
    <row r="56" customFormat="false" ht="12.8" hidden="false" customHeight="false" outlineLevel="0" collapsed="false">
      <c r="A56" s="0" t="s">
        <v>11</v>
      </c>
      <c r="B56" s="0" t="n">
        <v>1</v>
      </c>
      <c r="C56" s="0" t="n">
        <v>100</v>
      </c>
      <c r="D56" s="0" t="n">
        <v>25</v>
      </c>
      <c r="E56" s="0" t="n">
        <v>0.911</v>
      </c>
      <c r="G56" s="0" t="n">
        <v>0.727</v>
      </c>
      <c r="H56" s="0" t="n">
        <v>0.004067</v>
      </c>
      <c r="I56" s="0" t="n">
        <v>0.001304</v>
      </c>
      <c r="K56" s="0" t="s">
        <v>11</v>
      </c>
      <c r="L56" s="0" t="n">
        <v>1</v>
      </c>
      <c r="M56" s="0" t="n">
        <v>100</v>
      </c>
      <c r="N56" s="0" t="n">
        <v>25</v>
      </c>
      <c r="O56" s="4" t="n">
        <f aca="false">(E56+E73+E90)/3</f>
        <v>0.913666666666667</v>
      </c>
      <c r="P56" s="3" t="n">
        <f aca="false">(N56/O56)</f>
        <v>27.3622765414082</v>
      </c>
      <c r="Q56" s="4" t="n">
        <f aca="false">(G56+G73+G90)/3</f>
        <v>0.733</v>
      </c>
      <c r="R56" s="5" t="n">
        <f aca="false">(H56+H73+H90)/3</f>
        <v>0.004067</v>
      </c>
      <c r="S56" s="5" t="n">
        <f aca="false">(I56+I73+I90)/3</f>
        <v>0.001302</v>
      </c>
      <c r="U56" s="0" t="s">
        <v>10</v>
      </c>
      <c r="V56" s="0" t="n">
        <v>5</v>
      </c>
      <c r="W56" s="0" t="n">
        <v>100</v>
      </c>
      <c r="X56" s="0" t="n">
        <v>25</v>
      </c>
      <c r="Y56" s="4" t="n">
        <v>0.950333333333333</v>
      </c>
      <c r="Z56" s="3" t="n">
        <v>26.3065591020695</v>
      </c>
      <c r="AA56" s="4" t="n">
        <v>0.768666666666667</v>
      </c>
      <c r="AB56" s="5" t="n">
        <v>0.004067</v>
      </c>
      <c r="AC56" s="5" t="n">
        <v>0.0013</v>
      </c>
      <c r="AF56" s="0" t="n">
        <v>10</v>
      </c>
      <c r="AG56" s="3" t="n">
        <v>10.3555402140145</v>
      </c>
      <c r="AH56" s="3" t="n">
        <v>11.4810562571757</v>
      </c>
      <c r="AI56" s="3" t="n">
        <v>43.7530384054448</v>
      </c>
    </row>
    <row r="57" customFormat="false" ht="12.8" hidden="false" customHeight="false" outlineLevel="0" collapsed="false">
      <c r="A57" s="0" t="s">
        <v>11</v>
      </c>
      <c r="B57" s="0" t="n">
        <v>1</v>
      </c>
      <c r="C57" s="0" t="n">
        <v>100</v>
      </c>
      <c r="D57" s="0" t="n">
        <v>50</v>
      </c>
      <c r="E57" s="0" t="n">
        <v>0.963</v>
      </c>
      <c r="G57" s="0" t="n">
        <v>0.769</v>
      </c>
      <c r="H57" s="0" t="n">
        <v>0.008133</v>
      </c>
      <c r="I57" s="0" t="n">
        <v>0.002599</v>
      </c>
      <c r="K57" s="0" t="s">
        <v>11</v>
      </c>
      <c r="L57" s="0" t="n">
        <v>1</v>
      </c>
      <c r="M57" s="0" t="n">
        <v>100</v>
      </c>
      <c r="N57" s="0" t="n">
        <v>50</v>
      </c>
      <c r="O57" s="4" t="n">
        <f aca="false">(E57+E74+E91)/3</f>
        <v>0.948</v>
      </c>
      <c r="P57" s="3" t="n">
        <f aca="false">(N57/O57)</f>
        <v>52.7426160337553</v>
      </c>
      <c r="Q57" s="4" t="n">
        <f aca="false">(G57+G74+G91)/3</f>
        <v>0.755333333333333</v>
      </c>
      <c r="R57" s="5" t="n">
        <f aca="false">(H57+H74+H91)/3</f>
        <v>0.008133</v>
      </c>
      <c r="S57" s="5" t="n">
        <f aca="false">(I57+I74+I91)/3</f>
        <v>0.00260433333333333</v>
      </c>
      <c r="U57" s="0" t="s">
        <v>10</v>
      </c>
      <c r="V57" s="0" t="n">
        <v>5</v>
      </c>
      <c r="W57" s="0" t="n">
        <v>100</v>
      </c>
      <c r="X57" s="0" t="n">
        <v>50</v>
      </c>
      <c r="Y57" s="4" t="n">
        <v>1.008</v>
      </c>
      <c r="Z57" s="3" t="n">
        <v>49.6031746031746</v>
      </c>
      <c r="AA57" s="4" t="n">
        <v>0.812</v>
      </c>
      <c r="AB57" s="5" t="n">
        <v>0.008133</v>
      </c>
      <c r="AC57" s="5" t="n">
        <v>0.00260233333333333</v>
      </c>
      <c r="AF57" s="0" t="n">
        <v>15</v>
      </c>
      <c r="AG57" s="3" t="n">
        <v>16.9939577039275</v>
      </c>
      <c r="AH57" s="3" t="n">
        <v>17.1298058622002</v>
      </c>
      <c r="AI57" s="3" t="n">
        <v>48.1111903064861</v>
      </c>
    </row>
    <row r="58" customFormat="false" ht="12.8" hidden="false" customHeight="false" outlineLevel="0" collapsed="false">
      <c r="A58" s="0" t="s">
        <v>11</v>
      </c>
      <c r="B58" s="0" t="n">
        <v>1</v>
      </c>
      <c r="C58" s="0" t="n">
        <v>100</v>
      </c>
      <c r="D58" s="0" t="n">
        <v>75</v>
      </c>
      <c r="E58" s="0" t="n">
        <v>1.766</v>
      </c>
      <c r="G58" s="0" t="n">
        <v>1.561</v>
      </c>
      <c r="H58" s="0" t="n">
        <v>0.0122</v>
      </c>
      <c r="I58" s="0" t="n">
        <v>0.003896</v>
      </c>
      <c r="K58" s="0" t="s">
        <v>11</v>
      </c>
      <c r="L58" s="0" t="n">
        <v>1</v>
      </c>
      <c r="M58" s="0" t="n">
        <v>100</v>
      </c>
      <c r="N58" s="0" t="n">
        <v>75</v>
      </c>
      <c r="O58" s="4" t="n">
        <f aca="false">(E58+E75+E92)/3</f>
        <v>1.50066666666667</v>
      </c>
      <c r="P58" s="3" t="n">
        <f aca="false">(N58/O58)</f>
        <v>49.9777876499334</v>
      </c>
      <c r="Q58" s="4" t="n">
        <f aca="false">(G58+G75+G92)/3</f>
        <v>1.291</v>
      </c>
      <c r="R58" s="5" t="n">
        <f aca="false">(H58+H75+H92)/3</f>
        <v>0.0122</v>
      </c>
      <c r="S58" s="5" t="n">
        <f aca="false">(I58+I75+I92)/3</f>
        <v>0.00389066666666667</v>
      </c>
      <c r="U58" s="0" t="s">
        <v>10</v>
      </c>
      <c r="V58" s="0" t="n">
        <v>5</v>
      </c>
      <c r="W58" s="0" t="n">
        <v>100</v>
      </c>
      <c r="X58" s="0" t="n">
        <v>75</v>
      </c>
      <c r="Y58" s="4" t="n">
        <v>1.09866666666667</v>
      </c>
      <c r="Z58" s="3" t="n">
        <v>68.2645631067961</v>
      </c>
      <c r="AA58" s="4" t="n">
        <v>0.884666666666667</v>
      </c>
      <c r="AB58" s="5" t="n">
        <v>0.0122</v>
      </c>
      <c r="AC58" s="5" t="n">
        <v>0.00389466666666667</v>
      </c>
      <c r="AF58" s="0" t="n">
        <v>20</v>
      </c>
      <c r="AG58" s="3" t="n">
        <v>20.3735144312394</v>
      </c>
      <c r="AH58" s="3" t="n">
        <v>20.746887966805</v>
      </c>
      <c r="AI58" s="3" t="n">
        <v>65.478355765733</v>
      </c>
    </row>
    <row r="59" customFormat="false" ht="12.8" hidden="false" customHeight="false" outlineLevel="0" collapsed="false">
      <c r="A59" s="0" t="s">
        <v>11</v>
      </c>
      <c r="B59" s="0" t="n">
        <v>1</v>
      </c>
      <c r="C59" s="0" t="n">
        <v>100</v>
      </c>
      <c r="D59" s="0" t="n">
        <v>100</v>
      </c>
      <c r="E59" s="0" t="n">
        <v>1.803</v>
      </c>
      <c r="G59" s="0" t="n">
        <v>1.587</v>
      </c>
      <c r="H59" s="0" t="n">
        <v>0.016267</v>
      </c>
      <c r="I59" s="0" t="n">
        <v>0.005194</v>
      </c>
      <c r="K59" s="0" t="s">
        <v>11</v>
      </c>
      <c r="L59" s="0" t="n">
        <v>1</v>
      </c>
      <c r="M59" s="0" t="n">
        <v>100</v>
      </c>
      <c r="N59" s="0" t="n">
        <v>100</v>
      </c>
      <c r="O59" s="4" t="n">
        <f aca="false">(E59+E76+E93)/3</f>
        <v>1.802</v>
      </c>
      <c r="P59" s="3" t="n">
        <f aca="false">(N59/O59)</f>
        <v>55.4938956714761</v>
      </c>
      <c r="Q59" s="4" t="n">
        <f aca="false">(G59+G76+G93)/3</f>
        <v>1.56866666666667</v>
      </c>
      <c r="R59" s="5" t="n">
        <f aca="false">(H59+H76+H93)/3</f>
        <v>0.016267</v>
      </c>
      <c r="S59" s="5" t="n">
        <f aca="false">(I59+I76+I93)/3</f>
        <v>0.005196</v>
      </c>
      <c r="U59" s="0" t="s">
        <v>10</v>
      </c>
      <c r="V59" s="0" t="n">
        <v>5</v>
      </c>
      <c r="W59" s="0" t="n">
        <v>100</v>
      </c>
      <c r="X59" s="0" t="n">
        <v>100</v>
      </c>
      <c r="Y59" s="4" t="n">
        <v>1.157</v>
      </c>
      <c r="Z59" s="3" t="n">
        <v>86.4304235090752</v>
      </c>
      <c r="AA59" s="4" t="n">
        <v>0.927333333333333</v>
      </c>
      <c r="AB59" s="5" t="n">
        <v>0.0162663333333333</v>
      </c>
      <c r="AC59" s="5" t="n">
        <v>0.00520466666666667</v>
      </c>
      <c r="AF59" s="0" t="n">
        <v>25</v>
      </c>
      <c r="AG59" s="3" t="n">
        <v>26.3065591020695</v>
      </c>
      <c r="AH59" s="3" t="n">
        <v>25.0836120401338</v>
      </c>
      <c r="AI59" s="3" t="n">
        <v>86.3060989643268</v>
      </c>
    </row>
    <row r="60" customFormat="false" ht="12.8" hidden="false" customHeight="false" outlineLevel="0" collapsed="false">
      <c r="A60" s="0" t="s">
        <v>11</v>
      </c>
      <c r="B60" s="0" t="n">
        <v>1</v>
      </c>
      <c r="C60" s="0" t="n">
        <v>100</v>
      </c>
      <c r="D60" s="0" t="n">
        <v>150</v>
      </c>
      <c r="E60" s="0" t="n">
        <v>1.707</v>
      </c>
      <c r="G60" s="0" t="n">
        <v>1.233</v>
      </c>
      <c r="H60" s="0" t="n">
        <v>0.0244</v>
      </c>
      <c r="I60" s="0" t="n">
        <v>0.00781</v>
      </c>
      <c r="K60" s="0" t="s">
        <v>11</v>
      </c>
      <c r="L60" s="0" t="n">
        <v>1</v>
      </c>
      <c r="M60" s="0" t="n">
        <v>100</v>
      </c>
      <c r="N60" s="0" t="n">
        <v>150</v>
      </c>
      <c r="O60" s="4" t="n">
        <f aca="false">(E60+E77+E94)/3</f>
        <v>1.732</v>
      </c>
      <c r="P60" s="3" t="n">
        <f aca="false">(N60/O60)</f>
        <v>86.6050808314088</v>
      </c>
      <c r="Q60" s="4" t="n">
        <f aca="false">(G60+G77+G94)/3</f>
        <v>1.29033333333333</v>
      </c>
      <c r="R60" s="5" t="n">
        <f aca="false">(H60+H77+H94)/3</f>
        <v>0.0244</v>
      </c>
      <c r="S60" s="5" t="n">
        <f aca="false">(I60+I77+I94)/3</f>
        <v>0.007809</v>
      </c>
      <c r="U60" s="0" t="s">
        <v>10</v>
      </c>
      <c r="V60" s="0" t="n">
        <v>5</v>
      </c>
      <c r="W60" s="0" t="n">
        <v>100</v>
      </c>
      <c r="X60" s="0" t="n">
        <v>150</v>
      </c>
      <c r="Y60" s="4" t="n">
        <v>2.24633333333333</v>
      </c>
      <c r="Z60" s="3" t="n">
        <v>66.775485977148</v>
      </c>
      <c r="AA60" s="4" t="n">
        <v>1.77833333333333</v>
      </c>
      <c r="AB60" s="5" t="n">
        <v>0.0244</v>
      </c>
      <c r="AC60" s="5" t="n">
        <v>0.00780533333333333</v>
      </c>
      <c r="AF60" s="0" t="n">
        <v>50</v>
      </c>
      <c r="AG60" s="3" t="n">
        <v>49.6031746031746</v>
      </c>
      <c r="AH60" s="3" t="n">
        <v>49.0837696335079</v>
      </c>
      <c r="AI60" s="3" t="n">
        <v>164.173659248449</v>
      </c>
    </row>
    <row r="61" customFormat="false" ht="12.8" hidden="false" customHeight="false" outlineLevel="0" collapsed="false">
      <c r="A61" s="0" t="s">
        <v>11</v>
      </c>
      <c r="B61" s="0" t="n">
        <v>1</v>
      </c>
      <c r="C61" s="0" t="n">
        <v>100</v>
      </c>
      <c r="D61" s="0" t="n">
        <v>200</v>
      </c>
      <c r="E61" s="0" t="n">
        <v>1.55</v>
      </c>
      <c r="G61" s="0" t="n">
        <v>1.166</v>
      </c>
      <c r="H61" s="0" t="n">
        <v>0.032533</v>
      </c>
      <c r="I61" s="0" t="n">
        <v>0.010406</v>
      </c>
      <c r="K61" s="0" t="s">
        <v>11</v>
      </c>
      <c r="L61" s="0" t="n">
        <v>1</v>
      </c>
      <c r="M61" s="0" t="n">
        <v>100</v>
      </c>
      <c r="N61" s="0" t="n">
        <v>200</v>
      </c>
      <c r="O61" s="4" t="n">
        <f aca="false">(E61+E78+E95)/3</f>
        <v>1.59733333333333</v>
      </c>
      <c r="P61" s="3" t="n">
        <f aca="false">(N61/O61)</f>
        <v>125.208681135225</v>
      </c>
      <c r="Q61" s="4" t="n">
        <f aca="false">(G61+G78+G95)/3</f>
        <v>1.193</v>
      </c>
      <c r="R61" s="5" t="n">
        <f aca="false">(H61+H78+H95)/3</f>
        <v>0.032533</v>
      </c>
      <c r="S61" s="5" t="n">
        <f aca="false">(I61+I78+I95)/3</f>
        <v>0.010403</v>
      </c>
      <c r="U61" s="0" t="s">
        <v>10</v>
      </c>
      <c r="V61" s="0" t="n">
        <v>5</v>
      </c>
      <c r="W61" s="0" t="n">
        <v>100</v>
      </c>
      <c r="X61" s="0" t="n">
        <v>200</v>
      </c>
      <c r="Y61" s="4" t="n">
        <v>2.55566666666667</v>
      </c>
      <c r="Z61" s="3" t="n">
        <v>78.2574670666493</v>
      </c>
      <c r="AA61" s="4" t="n">
        <v>2.03266666666667</v>
      </c>
      <c r="AB61" s="5" t="n">
        <v>0.032533</v>
      </c>
      <c r="AC61" s="5" t="n">
        <v>0.0103963333333333</v>
      </c>
      <c r="AF61" s="0" t="n">
        <v>75</v>
      </c>
      <c r="AG61" s="3" t="n">
        <v>68.2645631067961</v>
      </c>
      <c r="AH61" s="3" t="n">
        <v>48.6486486486486</v>
      </c>
      <c r="AI61" s="3" t="n">
        <v>269.892043182727</v>
      </c>
    </row>
    <row r="62" customFormat="false" ht="12.8" hidden="false" customHeight="false" outlineLevel="0" collapsed="false">
      <c r="A62" s="0" t="s">
        <v>11</v>
      </c>
      <c r="B62" s="0" t="n">
        <v>1</v>
      </c>
      <c r="C62" s="0" t="n">
        <v>100</v>
      </c>
      <c r="D62" s="0" t="n">
        <v>250</v>
      </c>
      <c r="E62" s="0" t="n">
        <v>2.409</v>
      </c>
      <c r="G62" s="0" t="n">
        <v>1.972</v>
      </c>
      <c r="H62" s="0" t="n">
        <v>0.040666</v>
      </c>
      <c r="I62" s="0" t="n">
        <v>0.012993</v>
      </c>
      <c r="K62" s="0" t="s">
        <v>11</v>
      </c>
      <c r="L62" s="0" t="n">
        <v>1</v>
      </c>
      <c r="M62" s="0" t="n">
        <v>100</v>
      </c>
      <c r="N62" s="0" t="n">
        <v>250</v>
      </c>
      <c r="O62" s="4" t="n">
        <f aca="false">(E62+E79+E96)/3</f>
        <v>2.426</v>
      </c>
      <c r="P62" s="3" t="n">
        <f aca="false">(N62/O62)</f>
        <v>103.050288540808</v>
      </c>
      <c r="Q62" s="4" t="n">
        <f aca="false">(G62+G79+G96)/3</f>
        <v>1.94333333333333</v>
      </c>
      <c r="R62" s="5" t="n">
        <f aca="false">(H62+H79+H96)/3</f>
        <v>0.040666</v>
      </c>
      <c r="S62" s="5" t="n">
        <f aca="false">(I62+I79+I96)/3</f>
        <v>0.012995</v>
      </c>
      <c r="U62" s="0" t="s">
        <v>10</v>
      </c>
      <c r="V62" s="0" t="n">
        <v>5</v>
      </c>
      <c r="W62" s="0" t="n">
        <v>100</v>
      </c>
      <c r="X62" s="0" t="n">
        <v>250</v>
      </c>
      <c r="Y62" s="4" t="n">
        <v>2.80533333333333</v>
      </c>
      <c r="Z62" s="3" t="n">
        <v>89.115969581749</v>
      </c>
      <c r="AA62" s="4" t="n">
        <v>2.195</v>
      </c>
      <c r="AB62" s="5" t="n">
        <v>0.040666</v>
      </c>
      <c r="AC62" s="5" t="n">
        <v>0.012997</v>
      </c>
      <c r="AF62" s="0" t="n">
        <v>100</v>
      </c>
      <c r="AG62" s="3" t="n">
        <v>86.4304235090752</v>
      </c>
      <c r="AH62" s="3" t="n">
        <v>70.7213578500707</v>
      </c>
      <c r="AI62" s="3" t="n">
        <v>238.095238095238</v>
      </c>
    </row>
    <row r="63" customFormat="false" ht="12.8" hidden="false" customHeight="false" outlineLevel="0" collapsed="false">
      <c r="A63" s="0" t="s">
        <v>11</v>
      </c>
      <c r="B63" s="0" t="n">
        <v>1</v>
      </c>
      <c r="C63" s="0" t="n">
        <v>100</v>
      </c>
      <c r="D63" s="0" t="n">
        <v>500</v>
      </c>
      <c r="E63" s="0" t="n">
        <v>3.45</v>
      </c>
      <c r="G63" s="0" t="n">
        <v>2.276</v>
      </c>
      <c r="H63" s="0" t="n">
        <v>0.081333</v>
      </c>
      <c r="I63" s="0" t="n">
        <v>0.026048</v>
      </c>
      <c r="K63" s="0" t="s">
        <v>11</v>
      </c>
      <c r="L63" s="0" t="n">
        <v>1</v>
      </c>
      <c r="M63" s="0" t="n">
        <v>100</v>
      </c>
      <c r="N63" s="0" t="n">
        <v>500</v>
      </c>
      <c r="O63" s="4" t="n">
        <f aca="false">(E63+E80+E97)/3</f>
        <v>3.12433333333333</v>
      </c>
      <c r="P63" s="3" t="n">
        <f aca="false">(N63/O63)</f>
        <v>160.034140616665</v>
      </c>
      <c r="Q63" s="4" t="n">
        <f aca="false">(G63+G80+G97)/3</f>
        <v>2.04133333333333</v>
      </c>
      <c r="R63" s="5" t="n">
        <f aca="false">(H63+H80+H97)/3</f>
        <v>0.081333</v>
      </c>
      <c r="S63" s="5" t="n">
        <f aca="false">(I63+I80+I97)/3</f>
        <v>0.026007</v>
      </c>
      <c r="U63" s="0" t="s">
        <v>10</v>
      </c>
      <c r="V63" s="0" t="n">
        <v>5</v>
      </c>
      <c r="W63" s="0" t="n">
        <v>100</v>
      </c>
      <c r="X63" s="0" t="n">
        <v>500</v>
      </c>
      <c r="Y63" s="4" t="n">
        <v>4.82633333333333</v>
      </c>
      <c r="Z63" s="3" t="n">
        <v>103.598314800746</v>
      </c>
      <c r="AA63" s="4" t="n">
        <v>3.66833333333333</v>
      </c>
      <c r="AB63" s="5" t="n">
        <v>0.081333</v>
      </c>
      <c r="AC63" s="5" t="n">
        <v>0.026009</v>
      </c>
      <c r="AF63" s="0" t="n">
        <v>150</v>
      </c>
      <c r="AG63" s="3" t="n">
        <v>66.775485977148</v>
      </c>
      <c r="AH63" s="3" t="n">
        <v>84.5387939132068</v>
      </c>
      <c r="AI63" s="3" t="n">
        <v>266.324718879463</v>
      </c>
    </row>
    <row r="64" customFormat="false" ht="12.8" hidden="false" customHeight="false" outlineLevel="0" collapsed="false">
      <c r="A64" s="0" t="s">
        <v>11</v>
      </c>
      <c r="B64" s="0" t="n">
        <v>1</v>
      </c>
      <c r="C64" s="0" t="n">
        <v>100</v>
      </c>
      <c r="D64" s="0" t="n">
        <v>750</v>
      </c>
      <c r="E64" s="0" t="n">
        <v>4.357</v>
      </c>
      <c r="G64" s="0" t="n">
        <v>2.898</v>
      </c>
      <c r="H64" s="0" t="n">
        <v>0.121999</v>
      </c>
      <c r="I64" s="0" t="n">
        <v>0.038977</v>
      </c>
      <c r="K64" s="0" t="s">
        <v>11</v>
      </c>
      <c r="L64" s="0" t="n">
        <v>1</v>
      </c>
      <c r="M64" s="0" t="n">
        <v>100</v>
      </c>
      <c r="N64" s="0" t="n">
        <v>750</v>
      </c>
      <c r="O64" s="4" t="n">
        <f aca="false">(E64+E81+E98)/3</f>
        <v>4.54433333333333</v>
      </c>
      <c r="P64" s="3" t="n">
        <f aca="false">(N64/O64)</f>
        <v>165.04071004181</v>
      </c>
      <c r="Q64" s="4" t="n">
        <f aca="false">(G64+G81+G98)/3</f>
        <v>2.965</v>
      </c>
      <c r="R64" s="5" t="n">
        <f aca="false">(H64+H81+H98)/3</f>
        <v>0.121999</v>
      </c>
      <c r="S64" s="5" t="n">
        <f aca="false">(I64+I81+I98)/3</f>
        <v>0.0389843333333333</v>
      </c>
      <c r="U64" s="0" t="s">
        <v>10</v>
      </c>
      <c r="V64" s="0" t="n">
        <v>5</v>
      </c>
      <c r="W64" s="0" t="n">
        <v>100</v>
      </c>
      <c r="X64" s="0" t="n">
        <v>750</v>
      </c>
      <c r="Y64" s="4" t="n">
        <v>6.818</v>
      </c>
      <c r="Z64" s="3" t="n">
        <v>110.002933411558</v>
      </c>
      <c r="AA64" s="4" t="n">
        <v>5.21666666666667</v>
      </c>
      <c r="AB64" s="5" t="n">
        <v>0.121999</v>
      </c>
      <c r="AC64" s="5" t="n">
        <v>0.0389976666666667</v>
      </c>
      <c r="AF64" s="0" t="n">
        <v>200</v>
      </c>
      <c r="AG64" s="3" t="n">
        <v>78.2574670666493</v>
      </c>
      <c r="AH64" s="3" t="n">
        <v>109.130592942888</v>
      </c>
      <c r="AI64" s="3" t="n">
        <v>299.950008331945</v>
      </c>
    </row>
    <row r="65" customFormat="false" ht="12.8" hidden="false" customHeight="false" outlineLevel="0" collapsed="false">
      <c r="A65" s="0" t="s">
        <v>11</v>
      </c>
      <c r="B65" s="0" t="n">
        <v>1</v>
      </c>
      <c r="C65" s="0" t="n">
        <v>100</v>
      </c>
      <c r="D65" s="0" t="n">
        <v>1000</v>
      </c>
      <c r="E65" s="0" t="n">
        <v>6.261</v>
      </c>
      <c r="G65" s="0" t="n">
        <v>4.291</v>
      </c>
      <c r="H65" s="0" t="n">
        <v>0.162666</v>
      </c>
      <c r="I65" s="0" t="n">
        <v>0.051965</v>
      </c>
      <c r="K65" s="0" t="s">
        <v>11</v>
      </c>
      <c r="L65" s="0" t="n">
        <v>1</v>
      </c>
      <c r="M65" s="0" t="n">
        <v>100</v>
      </c>
      <c r="N65" s="0" t="n">
        <v>1000</v>
      </c>
      <c r="O65" s="4" t="n">
        <f aca="false">(E65+E82+E99)/3</f>
        <v>5.911</v>
      </c>
      <c r="P65" s="3" t="n">
        <f aca="false">(N65/O65)</f>
        <v>169.176112332939</v>
      </c>
      <c r="Q65" s="4" t="n">
        <f aca="false">(G65+G82+G99)/3</f>
        <v>4.07033333333333</v>
      </c>
      <c r="R65" s="5" t="n">
        <f aca="false">(H65+H82+H99)/3</f>
        <v>0.162666</v>
      </c>
      <c r="S65" s="5" t="n">
        <f aca="false">(I65+I82+I99)/3</f>
        <v>0.05198</v>
      </c>
      <c r="U65" s="0" t="s">
        <v>10</v>
      </c>
      <c r="V65" s="0" t="n">
        <v>5</v>
      </c>
      <c r="W65" s="0" t="n">
        <v>100</v>
      </c>
      <c r="X65" s="0" t="n">
        <v>1000</v>
      </c>
      <c r="Y65" s="4" t="n">
        <v>9.25733333333333</v>
      </c>
      <c r="Z65" s="3" t="n">
        <v>108.022468673484</v>
      </c>
      <c r="AA65" s="4" t="n">
        <v>7.302</v>
      </c>
      <c r="AB65" s="5" t="n">
        <v>0.162665666666667</v>
      </c>
      <c r="AC65" s="5" t="n">
        <v>0.052024</v>
      </c>
      <c r="AF65" s="0" t="n">
        <v>250</v>
      </c>
      <c r="AG65" s="3" t="n">
        <v>89.115969581749</v>
      </c>
      <c r="AH65" s="3" t="n">
        <v>150.572174262196</v>
      </c>
      <c r="AI65" s="3" t="n">
        <v>424.929178470255</v>
      </c>
    </row>
    <row r="66" customFormat="false" ht="12.8" hidden="false" customHeight="false" outlineLevel="0" collapsed="false">
      <c r="A66" s="0" t="s">
        <v>11</v>
      </c>
      <c r="B66" s="0" t="n">
        <v>1</v>
      </c>
      <c r="C66" s="0" t="n">
        <v>100</v>
      </c>
      <c r="D66" s="0" t="n">
        <v>1500</v>
      </c>
      <c r="E66" s="0" t="n">
        <v>8.164</v>
      </c>
      <c r="G66" s="0" t="n">
        <v>5.344</v>
      </c>
      <c r="H66" s="0" t="n">
        <v>0.243998</v>
      </c>
      <c r="I66" s="0" t="n">
        <v>0.077946</v>
      </c>
      <c r="K66" s="0" t="s">
        <v>11</v>
      </c>
      <c r="L66" s="0" t="n">
        <v>1</v>
      </c>
      <c r="M66" s="0" t="n">
        <v>100</v>
      </c>
      <c r="N66" s="0" t="n">
        <v>1500</v>
      </c>
      <c r="O66" s="4" t="n">
        <f aca="false">(E66+E83+E100)/3</f>
        <v>8.103</v>
      </c>
      <c r="P66" s="3" t="n">
        <f aca="false">(N66/O66)</f>
        <v>185.116623472788</v>
      </c>
      <c r="Q66" s="4" t="n">
        <f aca="false">(G66+G83+G100)/3</f>
        <v>5.33366666666667</v>
      </c>
      <c r="R66" s="5" t="n">
        <f aca="false">(H66+H83+H100)/3</f>
        <v>0.243998</v>
      </c>
      <c r="S66" s="5" t="n">
        <f aca="false">(I66+I83+I100)/3</f>
        <v>0.0779823333333333</v>
      </c>
      <c r="U66" s="0" t="s">
        <v>10</v>
      </c>
      <c r="V66" s="0" t="n">
        <v>5</v>
      </c>
      <c r="W66" s="0" t="n">
        <v>97</v>
      </c>
      <c r="X66" s="0" t="n">
        <v>1500</v>
      </c>
      <c r="Y66" s="4" t="n">
        <v>13.4496666666667</v>
      </c>
      <c r="Z66" s="3" t="n">
        <v>111.526927557065</v>
      </c>
      <c r="AA66" s="4" t="n">
        <v>10.3463333333333</v>
      </c>
      <c r="AB66" s="5" t="n">
        <v>0.243998333333333</v>
      </c>
      <c r="AC66" s="5" t="n">
        <v>0.074843</v>
      </c>
      <c r="AF66" s="0" t="n">
        <v>500</v>
      </c>
      <c r="AG66" s="3" t="n">
        <v>103.598314800746</v>
      </c>
      <c r="AH66" s="3" t="n">
        <v>189.561481107039</v>
      </c>
      <c r="AI66" s="3" t="n">
        <v>508.417128008135</v>
      </c>
    </row>
    <row r="67" customFormat="false" ht="12.8" hidden="false" customHeight="false" outlineLevel="0" collapsed="false">
      <c r="A67" s="0" t="s">
        <v>11</v>
      </c>
      <c r="B67" s="0" t="n">
        <v>1</v>
      </c>
      <c r="C67" s="0" t="n">
        <v>100</v>
      </c>
      <c r="D67" s="0" t="n">
        <v>2000</v>
      </c>
      <c r="E67" s="0" t="n">
        <v>10.227</v>
      </c>
      <c r="G67" s="0" t="n">
        <v>6.288</v>
      </c>
      <c r="H67" s="0" t="n">
        <v>0.325331</v>
      </c>
      <c r="I67" s="0" t="n">
        <v>0.104005</v>
      </c>
      <c r="K67" s="0" t="s">
        <v>11</v>
      </c>
      <c r="L67" s="0" t="n">
        <v>1</v>
      </c>
      <c r="M67" s="0" t="n">
        <v>100</v>
      </c>
      <c r="N67" s="0" t="n">
        <v>2000</v>
      </c>
      <c r="O67" s="4" t="n">
        <f aca="false">(E67+E84+E101)/3</f>
        <v>10.2703333333333</v>
      </c>
      <c r="P67" s="3" t="n">
        <f aca="false">(N67/O67)</f>
        <v>194.735646360066</v>
      </c>
      <c r="Q67" s="4" t="n">
        <f aca="false">(G67+G84+G101)/3</f>
        <v>6.303</v>
      </c>
      <c r="R67" s="5" t="n">
        <f aca="false">(H67+H84+H101)/3</f>
        <v>0.325331</v>
      </c>
      <c r="S67" s="5" t="n">
        <f aca="false">(I67+I84+I101)/3</f>
        <v>0.103991333333333</v>
      </c>
      <c r="U67" s="0" t="s">
        <v>10</v>
      </c>
      <c r="V67" s="0" t="n">
        <v>5</v>
      </c>
      <c r="W67" s="0" t="n">
        <v>0</v>
      </c>
      <c r="X67" s="0" t="n">
        <v>2000</v>
      </c>
      <c r="Y67" s="4" t="n">
        <v>0</v>
      </c>
      <c r="Z67" s="0" t="n">
        <v>0</v>
      </c>
      <c r="AA67" s="4" t="n">
        <v>0</v>
      </c>
      <c r="AB67" s="5" t="n">
        <v>0</v>
      </c>
      <c r="AC67" s="5" t="n">
        <v>0</v>
      </c>
      <c r="AF67" s="0" t="n">
        <v>750</v>
      </c>
      <c r="AG67" s="3" t="n">
        <v>110.002933411558</v>
      </c>
      <c r="AH67" s="3" t="n">
        <v>232.342007434944</v>
      </c>
      <c r="AI67" s="3" t="n">
        <v>516.410374110627</v>
      </c>
    </row>
    <row r="68" customFormat="false" ht="12.8" hidden="false" customHeight="false" outlineLevel="0" collapsed="false">
      <c r="A68" s="0" t="s">
        <v>11</v>
      </c>
      <c r="B68" s="0" t="n">
        <v>1</v>
      </c>
      <c r="C68" s="0" t="n">
        <v>100</v>
      </c>
      <c r="D68" s="0" t="n">
        <v>3000</v>
      </c>
      <c r="E68" s="0" t="n">
        <v>18.102</v>
      </c>
      <c r="G68" s="0" t="n">
        <v>11.141</v>
      </c>
      <c r="H68" s="0" t="n">
        <v>0.487997</v>
      </c>
      <c r="I68" s="0" t="n">
        <v>0.156059</v>
      </c>
      <c r="K68" s="0" t="s">
        <v>11</v>
      </c>
      <c r="L68" s="0" t="n">
        <v>1</v>
      </c>
      <c r="M68" s="0" t="n">
        <v>100</v>
      </c>
      <c r="N68" s="0" t="n">
        <v>3000</v>
      </c>
      <c r="O68" s="4" t="n">
        <f aca="false">(E68+E85+E102)/3</f>
        <v>17.574</v>
      </c>
      <c r="P68" s="3" t="n">
        <f aca="false">(N68/O68)</f>
        <v>170.706725844998</v>
      </c>
      <c r="Q68" s="4" t="n">
        <f aca="false">(G68+G85+G102)/3</f>
        <v>10.824</v>
      </c>
      <c r="R68" s="5" t="n">
        <f aca="false">(H68+H85+H102)/3</f>
        <v>0.487997</v>
      </c>
      <c r="S68" s="5" t="n">
        <f aca="false">(I68+I85+I102)/3</f>
        <v>0.156042</v>
      </c>
      <c r="U68" s="0" t="s">
        <v>10</v>
      </c>
      <c r="V68" s="0" t="n">
        <v>5</v>
      </c>
      <c r="W68" s="0" t="n">
        <v>0</v>
      </c>
      <c r="X68" s="0" t="n">
        <v>3000</v>
      </c>
      <c r="Y68" s="4" t="n">
        <v>0</v>
      </c>
      <c r="Z68" s="0" t="n">
        <v>0</v>
      </c>
      <c r="AA68" s="4" t="n">
        <v>0</v>
      </c>
      <c r="AB68" s="5" t="n">
        <v>0</v>
      </c>
      <c r="AC68" s="5" t="n">
        <v>0</v>
      </c>
      <c r="AF68" s="0" t="n">
        <v>1000</v>
      </c>
      <c r="AG68" s="3" t="n">
        <v>108.022468673484</v>
      </c>
      <c r="AH68" s="3" t="n">
        <v>234.064133572599</v>
      </c>
      <c r="AI68" s="3" t="n">
        <v>591.793792740663</v>
      </c>
    </row>
    <row r="69" customFormat="false" ht="12.8" hidden="false" customHeight="false" outlineLevel="0" collapsed="false">
      <c r="A69" s="0" t="s">
        <v>0</v>
      </c>
      <c r="B69" s="0" t="s">
        <v>1</v>
      </c>
      <c r="C69" s="0" t="s">
        <v>2</v>
      </c>
      <c r="D69" s="0" t="s">
        <v>3</v>
      </c>
      <c r="E69" s="0" t="s">
        <v>4</v>
      </c>
      <c r="G69" s="0" t="s">
        <v>6</v>
      </c>
      <c r="H69" s="0" t="s">
        <v>7</v>
      </c>
      <c r="I69" s="0" t="s">
        <v>8</v>
      </c>
      <c r="U69" s="0" t="s">
        <v>0</v>
      </c>
      <c r="V69" s="0" t="s">
        <v>1</v>
      </c>
      <c r="W69" s="0" t="s">
        <v>2</v>
      </c>
      <c r="X69" s="0" t="s">
        <v>3</v>
      </c>
      <c r="Y69" s="0" t="s">
        <v>4</v>
      </c>
      <c r="Z69" s="0" t="s">
        <v>5</v>
      </c>
      <c r="AA69" s="0" t="s">
        <v>6</v>
      </c>
      <c r="AB69" s="0" t="s">
        <v>7</v>
      </c>
      <c r="AC69" s="0" t="s">
        <v>8</v>
      </c>
      <c r="AF69" s="0" t="n">
        <v>1500</v>
      </c>
      <c r="AG69" s="3" t="n">
        <v>111.526927557065</v>
      </c>
      <c r="AH69" s="3" t="n">
        <v>215.486280706795</v>
      </c>
      <c r="AI69" s="3" t="n">
        <v>616.804495819436</v>
      </c>
    </row>
    <row r="70" customFormat="false" ht="12.8" hidden="false" customHeight="false" outlineLevel="0" collapsed="false">
      <c r="A70" s="0" t="s">
        <v>11</v>
      </c>
      <c r="B70" s="0" t="n">
        <v>1</v>
      </c>
      <c r="C70" s="0" t="n">
        <v>100</v>
      </c>
      <c r="D70" s="0" t="n">
        <v>10</v>
      </c>
      <c r="E70" s="0" t="n">
        <v>1.365</v>
      </c>
      <c r="G70" s="0" t="n">
        <v>1.219</v>
      </c>
      <c r="H70" s="0" t="n">
        <v>0.001661</v>
      </c>
      <c r="I70" s="0" t="n">
        <v>0.000537</v>
      </c>
      <c r="U70" s="0" t="s">
        <v>11</v>
      </c>
      <c r="V70" s="0" t="n">
        <v>5</v>
      </c>
      <c r="W70" s="0" t="n">
        <v>100</v>
      </c>
      <c r="X70" s="0" t="n">
        <v>10</v>
      </c>
      <c r="Y70" s="4" t="n">
        <v>0.871</v>
      </c>
      <c r="Z70" s="3" t="n">
        <v>11.4810562571757</v>
      </c>
      <c r="AA70" s="4" t="n">
        <v>0.658</v>
      </c>
      <c r="AB70" s="5" t="n">
        <v>0.001661</v>
      </c>
      <c r="AC70" s="5" t="n">
        <v>0.000535</v>
      </c>
      <c r="AF70" s="0" t="n">
        <v>2000</v>
      </c>
      <c r="AH70" s="3" t="n">
        <v>221.975582685905</v>
      </c>
      <c r="AI70" s="3" t="n">
        <v>558.347292015634</v>
      </c>
    </row>
    <row r="71" customFormat="false" ht="12.8" hidden="false" customHeight="false" outlineLevel="0" collapsed="false">
      <c r="A71" s="0" t="s">
        <v>11</v>
      </c>
      <c r="B71" s="0" t="n">
        <v>1</v>
      </c>
      <c r="C71" s="0" t="n">
        <v>100</v>
      </c>
      <c r="D71" s="0" t="n">
        <v>15</v>
      </c>
      <c r="E71" s="0" t="n">
        <v>0.885</v>
      </c>
      <c r="G71" s="0" t="n">
        <v>0.731</v>
      </c>
      <c r="H71" s="0" t="n">
        <v>0.00244</v>
      </c>
      <c r="I71" s="0" t="n">
        <v>0.000778</v>
      </c>
      <c r="U71" s="0" t="s">
        <v>11</v>
      </c>
      <c r="V71" s="0" t="n">
        <v>5</v>
      </c>
      <c r="W71" s="0" t="n">
        <v>100</v>
      </c>
      <c r="X71" s="0" t="n">
        <v>15</v>
      </c>
      <c r="Y71" s="4" t="n">
        <v>0.875666666666667</v>
      </c>
      <c r="Z71" s="3" t="n">
        <v>17.1298058622002</v>
      </c>
      <c r="AA71" s="4" t="n">
        <v>0.678666666666667</v>
      </c>
      <c r="AB71" s="5" t="n">
        <v>0.00244</v>
      </c>
      <c r="AC71" s="5" t="n">
        <v>0.000781</v>
      </c>
      <c r="AF71" s="0" t="n">
        <v>3000</v>
      </c>
      <c r="AH71" s="3" t="n">
        <v>203.270394796278</v>
      </c>
      <c r="AI71" s="3" t="n">
        <v>496.944710299639</v>
      </c>
    </row>
    <row r="72" customFormat="false" ht="12.8" hidden="false" customHeight="false" outlineLevel="0" collapsed="false">
      <c r="A72" s="0" t="s">
        <v>11</v>
      </c>
      <c r="B72" s="0" t="n">
        <v>1</v>
      </c>
      <c r="C72" s="0" t="n">
        <v>100</v>
      </c>
      <c r="D72" s="0" t="n">
        <v>20</v>
      </c>
      <c r="E72" s="0" t="n">
        <v>0.879</v>
      </c>
      <c r="G72" s="0" t="n">
        <v>0.695</v>
      </c>
      <c r="H72" s="0" t="n">
        <v>0.003253</v>
      </c>
      <c r="I72" s="0" t="n">
        <v>0.001034</v>
      </c>
      <c r="U72" s="0" t="s">
        <v>11</v>
      </c>
      <c r="V72" s="0" t="n">
        <v>5</v>
      </c>
      <c r="W72" s="0" t="n">
        <v>100</v>
      </c>
      <c r="X72" s="0" t="n">
        <v>20</v>
      </c>
      <c r="Y72" s="4" t="n">
        <v>0.964</v>
      </c>
      <c r="Z72" s="3" t="n">
        <v>20.746887966805</v>
      </c>
      <c r="AA72" s="4" t="n">
        <v>0.773333333333333</v>
      </c>
      <c r="AB72" s="5" t="n">
        <v>0.003253</v>
      </c>
      <c r="AC72" s="5" t="n">
        <v>0.00103766666666667</v>
      </c>
    </row>
    <row r="73" customFormat="false" ht="12.8" hidden="false" customHeight="false" outlineLevel="0" collapsed="false">
      <c r="A73" s="0" t="s">
        <v>11</v>
      </c>
      <c r="B73" s="0" t="n">
        <v>1</v>
      </c>
      <c r="C73" s="0" t="n">
        <v>100</v>
      </c>
      <c r="D73" s="0" t="n">
        <v>25</v>
      </c>
      <c r="E73" s="0" t="n">
        <v>0.846</v>
      </c>
      <c r="G73" s="0" t="n">
        <v>0.658</v>
      </c>
      <c r="H73" s="0" t="n">
        <v>0.004067</v>
      </c>
      <c r="I73" s="0" t="n">
        <v>0.001304</v>
      </c>
      <c r="U73" s="0" t="s">
        <v>11</v>
      </c>
      <c r="V73" s="0" t="n">
        <v>5</v>
      </c>
      <c r="W73" s="0" t="n">
        <v>100</v>
      </c>
      <c r="X73" s="0" t="n">
        <v>25</v>
      </c>
      <c r="Y73" s="4" t="n">
        <v>0.996666666666667</v>
      </c>
      <c r="Z73" s="3" t="n">
        <v>25.0836120401338</v>
      </c>
      <c r="AA73" s="4" t="n">
        <v>0.804666666666667</v>
      </c>
      <c r="AB73" s="5" t="n">
        <v>0.004067</v>
      </c>
      <c r="AC73" s="5" t="n">
        <v>0.0013</v>
      </c>
      <c r="AK73" s="0" t="s">
        <v>25</v>
      </c>
      <c r="AL73" s="0" t="s">
        <v>26</v>
      </c>
      <c r="AM73" s="0" t="s">
        <v>27</v>
      </c>
    </row>
    <row r="74" customFormat="false" ht="12.8" hidden="false" customHeight="false" outlineLevel="0" collapsed="false">
      <c r="A74" s="0" t="s">
        <v>11</v>
      </c>
      <c r="B74" s="0" t="n">
        <v>1</v>
      </c>
      <c r="C74" s="0" t="n">
        <v>100</v>
      </c>
      <c r="D74" s="0" t="n">
        <v>50</v>
      </c>
      <c r="E74" s="0" t="n">
        <v>0.874</v>
      </c>
      <c r="G74" s="0" t="n">
        <v>0.668</v>
      </c>
      <c r="H74" s="0" t="n">
        <v>0.008133</v>
      </c>
      <c r="I74" s="0" t="n">
        <v>0.00261</v>
      </c>
      <c r="U74" s="0" t="s">
        <v>11</v>
      </c>
      <c r="V74" s="0" t="n">
        <v>5</v>
      </c>
      <c r="W74" s="0" t="n">
        <v>100</v>
      </c>
      <c r="X74" s="0" t="n">
        <v>50</v>
      </c>
      <c r="Y74" s="4" t="n">
        <v>1.01866666666667</v>
      </c>
      <c r="Z74" s="3" t="n">
        <v>49.0837696335079</v>
      </c>
      <c r="AA74" s="4" t="n">
        <v>0.798</v>
      </c>
      <c r="AB74" s="5" t="n">
        <v>0.008133</v>
      </c>
      <c r="AC74" s="5" t="n">
        <v>0.00260266666666667</v>
      </c>
      <c r="AF74" s="8" t="n">
        <f aca="false">AB51-AB102</f>
        <v>1.00000000002876E-006</v>
      </c>
      <c r="AG74" s="8" t="n">
        <f aca="false">AC51-AC102</f>
        <v>0.103974</v>
      </c>
      <c r="AK74" s="0" t="s">
        <v>28</v>
      </c>
      <c r="AL74" s="0" t="n">
        <v>4000</v>
      </c>
      <c r="AM74" s="0" t="n">
        <v>2500</v>
      </c>
    </row>
    <row r="75" customFormat="false" ht="12.8" hidden="false" customHeight="false" outlineLevel="0" collapsed="false">
      <c r="A75" s="0" t="s">
        <v>11</v>
      </c>
      <c r="B75" s="0" t="n">
        <v>1</v>
      </c>
      <c r="C75" s="0" t="n">
        <v>100</v>
      </c>
      <c r="D75" s="0" t="n">
        <v>75</v>
      </c>
      <c r="E75" s="0" t="n">
        <v>0.925</v>
      </c>
      <c r="G75" s="0" t="n">
        <v>0.702</v>
      </c>
      <c r="H75" s="0" t="n">
        <v>0.0122</v>
      </c>
      <c r="I75" s="0" t="n">
        <v>0.003885</v>
      </c>
      <c r="U75" s="0" t="s">
        <v>11</v>
      </c>
      <c r="V75" s="0" t="n">
        <v>5</v>
      </c>
      <c r="W75" s="0" t="n">
        <v>100</v>
      </c>
      <c r="X75" s="0" t="n">
        <v>75</v>
      </c>
      <c r="Y75" s="4" t="n">
        <v>1.54166666666667</v>
      </c>
      <c r="Z75" s="3" t="n">
        <v>48.6486486486486</v>
      </c>
      <c r="AA75" s="4" t="n">
        <v>1.20966666666667</v>
      </c>
      <c r="AB75" s="5" t="n">
        <v>0.0122</v>
      </c>
      <c r="AC75" s="5" t="n">
        <v>0.003893</v>
      </c>
      <c r="AG75" s="3"/>
      <c r="AH75" s="3"/>
      <c r="AI75" s="3"/>
      <c r="AK75" s="0" t="s">
        <v>29</v>
      </c>
      <c r="AL75" s="0" t="n">
        <v>3200</v>
      </c>
      <c r="AM75" s="0" t="n">
        <v>1700</v>
      </c>
    </row>
    <row r="76" customFormat="false" ht="12.8" hidden="false" customHeight="false" outlineLevel="0" collapsed="false">
      <c r="A76" s="0" t="s">
        <v>11</v>
      </c>
      <c r="B76" s="0" t="n">
        <v>1</v>
      </c>
      <c r="C76" s="0" t="n">
        <v>100</v>
      </c>
      <c r="D76" s="0" t="n">
        <v>100</v>
      </c>
      <c r="E76" s="0" t="n">
        <v>1.754</v>
      </c>
      <c r="G76" s="0" t="n">
        <v>1.515</v>
      </c>
      <c r="H76" s="0" t="n">
        <v>0.016267</v>
      </c>
      <c r="I76" s="0" t="n">
        <v>0.005186</v>
      </c>
      <c r="U76" s="0" t="s">
        <v>11</v>
      </c>
      <c r="V76" s="0" t="n">
        <v>5</v>
      </c>
      <c r="W76" s="0" t="n">
        <v>100</v>
      </c>
      <c r="X76" s="0" t="n">
        <v>100</v>
      </c>
      <c r="Y76" s="4" t="n">
        <v>1.414</v>
      </c>
      <c r="Z76" s="3" t="n">
        <v>70.7213578500707</v>
      </c>
      <c r="AA76" s="4" t="n">
        <v>1.12466666666667</v>
      </c>
      <c r="AB76" s="5" t="n">
        <v>0.0162666666666667</v>
      </c>
      <c r="AC76" s="5" t="n">
        <v>0.005198</v>
      </c>
      <c r="AG76" s="3"/>
      <c r="AH76" s="3"/>
      <c r="AI76" s="3"/>
      <c r="AK76" s="0" t="s">
        <v>30</v>
      </c>
      <c r="AL76" s="0" t="n">
        <v>2200</v>
      </c>
      <c r="AM76" s="0" t="n">
        <v>1200</v>
      </c>
    </row>
    <row r="77" customFormat="false" ht="12.8" hidden="false" customHeight="false" outlineLevel="0" collapsed="false">
      <c r="A77" s="0" t="s">
        <v>11</v>
      </c>
      <c r="B77" s="0" t="n">
        <v>1</v>
      </c>
      <c r="C77" s="0" t="n">
        <v>100</v>
      </c>
      <c r="D77" s="0" t="n">
        <v>150</v>
      </c>
      <c r="E77" s="0" t="n">
        <v>1.763</v>
      </c>
      <c r="G77" s="0" t="n">
        <v>1.336</v>
      </c>
      <c r="H77" s="0" t="n">
        <v>0.0244</v>
      </c>
      <c r="I77" s="0" t="n">
        <v>0.007813</v>
      </c>
      <c r="U77" s="0" t="s">
        <v>11</v>
      </c>
      <c r="V77" s="0" t="n">
        <v>5</v>
      </c>
      <c r="W77" s="0" t="n">
        <v>100</v>
      </c>
      <c r="X77" s="0" t="n">
        <v>150</v>
      </c>
      <c r="Y77" s="4" t="n">
        <v>1.77433333333333</v>
      </c>
      <c r="Z77" s="3" t="n">
        <v>84.5387939132068</v>
      </c>
      <c r="AA77" s="4" t="n">
        <v>1.317</v>
      </c>
      <c r="AB77" s="5" t="n">
        <v>0.0244</v>
      </c>
      <c r="AC77" s="5" t="n">
        <v>0.00779333333333333</v>
      </c>
      <c r="AG77" s="3"/>
      <c r="AH77" s="3"/>
      <c r="AI77" s="3"/>
    </row>
    <row r="78" customFormat="false" ht="12.8" hidden="false" customHeight="false" outlineLevel="0" collapsed="false">
      <c r="A78" s="0" t="s">
        <v>11</v>
      </c>
      <c r="B78" s="0" t="n">
        <v>1</v>
      </c>
      <c r="C78" s="0" t="n">
        <v>100</v>
      </c>
      <c r="D78" s="0" t="n">
        <v>200</v>
      </c>
      <c r="E78" s="0" t="n">
        <v>1.671</v>
      </c>
      <c r="G78" s="0" t="n">
        <v>1.214</v>
      </c>
      <c r="H78" s="0" t="n">
        <v>0.032533</v>
      </c>
      <c r="I78" s="0" t="n">
        <v>0.010406</v>
      </c>
      <c r="U78" s="0" t="s">
        <v>11</v>
      </c>
      <c r="V78" s="0" t="n">
        <v>5</v>
      </c>
      <c r="W78" s="0" t="n">
        <v>100</v>
      </c>
      <c r="X78" s="0" t="n">
        <v>200</v>
      </c>
      <c r="Y78" s="4" t="n">
        <v>1.83266666666667</v>
      </c>
      <c r="Z78" s="3" t="n">
        <v>109.130592942888</v>
      </c>
      <c r="AA78" s="4" t="n">
        <v>1.351</v>
      </c>
      <c r="AB78" s="5" t="n">
        <v>0.032533</v>
      </c>
      <c r="AC78" s="5" t="n">
        <v>0.0103953333333333</v>
      </c>
      <c r="AG78" s="3"/>
      <c r="AH78" s="3"/>
      <c r="AI78" s="3"/>
    </row>
    <row r="79" customFormat="false" ht="12.8" hidden="false" customHeight="false" outlineLevel="0" collapsed="false">
      <c r="A79" s="0" t="s">
        <v>11</v>
      </c>
      <c r="B79" s="0" t="n">
        <v>1</v>
      </c>
      <c r="C79" s="0" t="n">
        <v>100</v>
      </c>
      <c r="D79" s="0" t="n">
        <v>250</v>
      </c>
      <c r="E79" s="0" t="n">
        <v>2.369</v>
      </c>
      <c r="G79" s="0" t="n">
        <v>1.819</v>
      </c>
      <c r="H79" s="0" t="n">
        <v>0.040666</v>
      </c>
      <c r="I79" s="0" t="n">
        <v>0.012996</v>
      </c>
      <c r="U79" s="0" t="s">
        <v>11</v>
      </c>
      <c r="V79" s="0" t="n">
        <v>5</v>
      </c>
      <c r="W79" s="0" t="n">
        <v>100</v>
      </c>
      <c r="X79" s="0" t="n">
        <v>250</v>
      </c>
      <c r="Y79" s="4" t="n">
        <v>1.66033333333333</v>
      </c>
      <c r="Z79" s="3" t="n">
        <v>150.572174262196</v>
      </c>
      <c r="AA79" s="4" t="n">
        <v>1.09666666666667</v>
      </c>
      <c r="AB79" s="5" t="n">
        <v>0.040666</v>
      </c>
      <c r="AC79" s="5" t="n">
        <v>0.0129943333333333</v>
      </c>
      <c r="AG79" s="3"/>
      <c r="AH79" s="3"/>
      <c r="AI79" s="3"/>
    </row>
    <row r="80" customFormat="false" ht="12.8" hidden="false" customHeight="false" outlineLevel="0" collapsed="false">
      <c r="A80" s="0" t="s">
        <v>11</v>
      </c>
      <c r="B80" s="0" t="n">
        <v>1</v>
      </c>
      <c r="C80" s="0" t="n">
        <v>100</v>
      </c>
      <c r="D80" s="0" t="n">
        <v>500</v>
      </c>
      <c r="E80" s="0" t="n">
        <v>3.004</v>
      </c>
      <c r="G80" s="0" t="n">
        <v>1.91</v>
      </c>
      <c r="H80" s="0" t="n">
        <v>0.081333</v>
      </c>
      <c r="I80" s="0" t="n">
        <v>0.025967</v>
      </c>
      <c r="U80" s="0" t="s">
        <v>11</v>
      </c>
      <c r="V80" s="0" t="n">
        <v>5</v>
      </c>
      <c r="W80" s="0" t="n">
        <v>100</v>
      </c>
      <c r="X80" s="0" t="n">
        <v>500</v>
      </c>
      <c r="Y80" s="4" t="n">
        <v>2.63766666666667</v>
      </c>
      <c r="Z80" s="3" t="n">
        <v>189.561481107039</v>
      </c>
      <c r="AA80" s="4" t="n">
        <v>1.488</v>
      </c>
      <c r="AB80" s="5" t="n">
        <v>0.081333</v>
      </c>
      <c r="AC80" s="5" t="n">
        <v>0.0260073333333333</v>
      </c>
      <c r="AG80" s="3"/>
      <c r="AH80" s="3"/>
      <c r="AI80" s="3"/>
    </row>
    <row r="81" customFormat="false" ht="12.8" hidden="false" customHeight="false" outlineLevel="0" collapsed="false">
      <c r="A81" s="0" t="s">
        <v>11</v>
      </c>
      <c r="B81" s="0" t="n">
        <v>1</v>
      </c>
      <c r="C81" s="0" t="n">
        <v>100</v>
      </c>
      <c r="D81" s="0" t="n">
        <v>750</v>
      </c>
      <c r="E81" s="0" t="n">
        <v>4.14</v>
      </c>
      <c r="G81" s="0" t="n">
        <v>2.661</v>
      </c>
      <c r="H81" s="0" t="n">
        <v>0.121999</v>
      </c>
      <c r="I81" s="0" t="n">
        <v>0.03898</v>
      </c>
      <c r="U81" s="0" t="s">
        <v>11</v>
      </c>
      <c r="V81" s="0" t="n">
        <v>5</v>
      </c>
      <c r="W81" s="0" t="n">
        <v>100</v>
      </c>
      <c r="X81" s="0" t="n">
        <v>750</v>
      </c>
      <c r="Y81" s="4" t="n">
        <v>3.228</v>
      </c>
      <c r="Z81" s="3" t="n">
        <v>232.342007434944</v>
      </c>
      <c r="AA81" s="4" t="n">
        <v>1.65733333333333</v>
      </c>
      <c r="AB81" s="5" t="n">
        <v>0.121999333333333</v>
      </c>
      <c r="AC81" s="5" t="n">
        <v>0.0389926666666667</v>
      </c>
      <c r="AG81" s="3"/>
      <c r="AH81" s="3"/>
      <c r="AI81" s="3"/>
    </row>
    <row r="82" customFormat="false" ht="12.8" hidden="false" customHeight="false" outlineLevel="0" collapsed="false">
      <c r="A82" s="0" t="s">
        <v>11</v>
      </c>
      <c r="B82" s="0" t="n">
        <v>1</v>
      </c>
      <c r="C82" s="0" t="n">
        <v>100</v>
      </c>
      <c r="D82" s="0" t="n">
        <v>1000</v>
      </c>
      <c r="E82" s="0" t="n">
        <v>6.093</v>
      </c>
      <c r="G82" s="0" t="n">
        <v>4.376</v>
      </c>
      <c r="H82" s="0" t="n">
        <v>0.162666</v>
      </c>
      <c r="I82" s="0" t="n">
        <v>0.052024</v>
      </c>
      <c r="U82" s="0" t="s">
        <v>11</v>
      </c>
      <c r="V82" s="0" t="n">
        <v>5</v>
      </c>
      <c r="W82" s="0" t="n">
        <v>100</v>
      </c>
      <c r="X82" s="0" t="n">
        <v>1000</v>
      </c>
      <c r="Y82" s="4" t="n">
        <v>4.27233333333333</v>
      </c>
      <c r="Z82" s="3" t="n">
        <v>234.064133572599</v>
      </c>
      <c r="AA82" s="4" t="n">
        <v>2.409</v>
      </c>
      <c r="AB82" s="5" t="n">
        <v>0.162666</v>
      </c>
      <c r="AC82" s="5" t="n">
        <v>0.0519766666666667</v>
      </c>
      <c r="AG82" s="3"/>
      <c r="AH82" s="3"/>
      <c r="AI82" s="3"/>
    </row>
    <row r="83" customFormat="false" ht="12.8" hidden="false" customHeight="false" outlineLevel="0" collapsed="false">
      <c r="A83" s="0" t="s">
        <v>11</v>
      </c>
      <c r="B83" s="0" t="n">
        <v>1</v>
      </c>
      <c r="C83" s="0" t="n">
        <v>100</v>
      </c>
      <c r="D83" s="0" t="n">
        <v>1500</v>
      </c>
      <c r="E83" s="0" t="n">
        <v>8.081</v>
      </c>
      <c r="G83" s="0" t="n">
        <v>5.341</v>
      </c>
      <c r="H83" s="0" t="n">
        <v>0.243998</v>
      </c>
      <c r="I83" s="0" t="n">
        <v>0.078058</v>
      </c>
      <c r="U83" s="0" t="s">
        <v>11</v>
      </c>
      <c r="V83" s="0" t="n">
        <v>5</v>
      </c>
      <c r="W83" s="0" t="n">
        <v>100</v>
      </c>
      <c r="X83" s="0" t="n">
        <v>1500</v>
      </c>
      <c r="Y83" s="4" t="n">
        <v>6.961</v>
      </c>
      <c r="Z83" s="3" t="n">
        <v>215.486280706795</v>
      </c>
      <c r="AA83" s="4" t="n">
        <v>3.829</v>
      </c>
      <c r="AB83" s="5" t="n">
        <v>0.243998333333333</v>
      </c>
      <c r="AC83" s="5" t="n">
        <v>0.07799</v>
      </c>
      <c r="AG83" s="3"/>
      <c r="AH83" s="3"/>
      <c r="AI83" s="3"/>
    </row>
    <row r="84" customFormat="false" ht="12.8" hidden="false" customHeight="false" outlineLevel="0" collapsed="false">
      <c r="A84" s="0" t="s">
        <v>11</v>
      </c>
      <c r="B84" s="0" t="n">
        <v>1</v>
      </c>
      <c r="C84" s="0" t="n">
        <v>100</v>
      </c>
      <c r="D84" s="0" t="n">
        <v>2000</v>
      </c>
      <c r="E84" s="0" t="n">
        <v>10.035</v>
      </c>
      <c r="G84" s="0" t="n">
        <v>6.091</v>
      </c>
      <c r="H84" s="0" t="n">
        <v>0.325331</v>
      </c>
      <c r="I84" s="0" t="n">
        <v>0.104022</v>
      </c>
      <c r="U84" s="0" t="s">
        <v>11</v>
      </c>
      <c r="V84" s="0" t="n">
        <v>5</v>
      </c>
      <c r="W84" s="0" t="n">
        <v>100</v>
      </c>
      <c r="X84" s="0" t="n">
        <v>2000</v>
      </c>
      <c r="Y84" s="4" t="n">
        <v>9.01</v>
      </c>
      <c r="Z84" s="3" t="n">
        <v>221.975582685905</v>
      </c>
      <c r="AA84" s="4" t="n">
        <v>4.44433333333333</v>
      </c>
      <c r="AB84" s="5" t="n">
        <v>0.325331333333333</v>
      </c>
      <c r="AC84" s="5" t="n">
        <v>0.104030333333333</v>
      </c>
      <c r="AG84" s="3"/>
      <c r="AH84" s="3"/>
      <c r="AI84" s="3"/>
    </row>
    <row r="85" customFormat="false" ht="12.8" hidden="false" customHeight="false" outlineLevel="0" collapsed="false">
      <c r="A85" s="0" t="s">
        <v>11</v>
      </c>
      <c r="B85" s="0" t="n">
        <v>1</v>
      </c>
      <c r="C85" s="0" t="n">
        <v>100</v>
      </c>
      <c r="D85" s="0" t="n">
        <v>3000</v>
      </c>
      <c r="E85" s="0" t="n">
        <v>17.016</v>
      </c>
      <c r="G85" s="0" t="n">
        <v>10.409</v>
      </c>
      <c r="H85" s="0" t="n">
        <v>0.487997</v>
      </c>
      <c r="I85" s="0" t="n">
        <v>0.156067</v>
      </c>
      <c r="U85" s="0" t="s">
        <v>11</v>
      </c>
      <c r="V85" s="0" t="n">
        <v>5</v>
      </c>
      <c r="W85" s="0" t="n">
        <v>100</v>
      </c>
      <c r="X85" s="0" t="n">
        <v>3000</v>
      </c>
      <c r="Y85" s="4" t="n">
        <v>14.7586666666667</v>
      </c>
      <c r="Z85" s="3" t="n">
        <v>203.270394796278</v>
      </c>
      <c r="AA85" s="4" t="n">
        <v>6.67066666666667</v>
      </c>
      <c r="AB85" s="5" t="n">
        <v>0.487997</v>
      </c>
      <c r="AC85" s="5" t="n">
        <v>0.156039666666667</v>
      </c>
      <c r="AG85" s="3"/>
      <c r="AH85" s="3"/>
      <c r="AI85" s="3"/>
    </row>
    <row r="86" customFormat="false" ht="12.8" hidden="false" customHeight="false" outlineLevel="0" collapsed="false">
      <c r="A86" s="0" t="s">
        <v>0</v>
      </c>
      <c r="B86" s="0" t="s">
        <v>1</v>
      </c>
      <c r="C86" s="0" t="s">
        <v>2</v>
      </c>
      <c r="D86" s="0" t="s">
        <v>3</v>
      </c>
      <c r="E86" s="0" t="s">
        <v>4</v>
      </c>
      <c r="G86" s="0" t="s">
        <v>6</v>
      </c>
      <c r="H86" s="0" t="s">
        <v>7</v>
      </c>
      <c r="I86" s="0" t="s">
        <v>8</v>
      </c>
      <c r="U86" s="0" t="s">
        <v>0</v>
      </c>
      <c r="V86" s="0" t="s">
        <v>1</v>
      </c>
      <c r="W86" s="0" t="s">
        <v>2</v>
      </c>
      <c r="X86" s="0" t="s">
        <v>3</v>
      </c>
      <c r="Y86" s="0" t="s">
        <v>4</v>
      </c>
      <c r="Z86" s="0" t="s">
        <v>5</v>
      </c>
      <c r="AA86" s="0" t="s">
        <v>6</v>
      </c>
      <c r="AB86" s="0" t="s">
        <v>7</v>
      </c>
      <c r="AC86" s="0" t="s">
        <v>8</v>
      </c>
      <c r="AG86" s="3"/>
      <c r="AH86" s="3"/>
      <c r="AI86" s="3"/>
    </row>
    <row r="87" customFormat="false" ht="12.8" hidden="false" customHeight="false" outlineLevel="0" collapsed="false">
      <c r="A87" s="0" t="s">
        <v>11</v>
      </c>
      <c r="B87" s="0" t="n">
        <v>1</v>
      </c>
      <c r="C87" s="0" t="n">
        <v>100</v>
      </c>
      <c r="D87" s="0" t="n">
        <v>10</v>
      </c>
      <c r="E87" s="0" t="n">
        <v>0.715</v>
      </c>
      <c r="G87" s="0" t="n">
        <v>0.596</v>
      </c>
      <c r="H87" s="0" t="n">
        <v>0.001661</v>
      </c>
      <c r="I87" s="0" t="n">
        <v>0.000537</v>
      </c>
      <c r="U87" s="0" t="s">
        <v>12</v>
      </c>
      <c r="V87" s="0" t="n">
        <v>5</v>
      </c>
      <c r="W87" s="0" t="n">
        <v>100</v>
      </c>
      <c r="X87" s="0" t="n">
        <v>10</v>
      </c>
      <c r="Y87" s="4" t="n">
        <f aca="false">(O87+O104+O121)/3</f>
        <v>0.228555555555556</v>
      </c>
      <c r="Z87" s="3" t="n">
        <f aca="false">(X87/Y87)</f>
        <v>43.7530384054448</v>
      </c>
      <c r="AA87" s="4" t="n">
        <f aca="false">(Q87+Q104+Q121)/3</f>
        <v>0.200777777777778</v>
      </c>
      <c r="AB87" s="5" t="n">
        <v>0.001661</v>
      </c>
      <c r="AC87" s="5" t="n">
        <f aca="false">(S87+S104+S121)/3</f>
        <v>0.000178666666666667</v>
      </c>
      <c r="AG87" s="3"/>
      <c r="AH87" s="3"/>
      <c r="AI87" s="3"/>
    </row>
    <row r="88" customFormat="false" ht="12.8" hidden="false" customHeight="false" outlineLevel="0" collapsed="false">
      <c r="A88" s="0" t="s">
        <v>11</v>
      </c>
      <c r="B88" s="0" t="n">
        <v>1</v>
      </c>
      <c r="C88" s="0" t="n">
        <v>100</v>
      </c>
      <c r="D88" s="0" t="n">
        <v>15</v>
      </c>
      <c r="E88" s="0" t="n">
        <v>0.97</v>
      </c>
      <c r="G88" s="0" t="n">
        <v>0.794</v>
      </c>
      <c r="H88" s="0" t="n">
        <v>0.00244</v>
      </c>
      <c r="I88" s="0" t="n">
        <v>0.00077</v>
      </c>
      <c r="U88" s="0" t="s">
        <v>12</v>
      </c>
      <c r="V88" s="0" t="n">
        <v>5</v>
      </c>
      <c r="W88" s="0" t="n">
        <v>100</v>
      </c>
      <c r="X88" s="0" t="n">
        <v>15</v>
      </c>
      <c r="Y88" s="4" t="n">
        <f aca="false">(O88+O105+O122)/3</f>
        <v>0.311777777777778</v>
      </c>
      <c r="Z88" s="3" t="n">
        <f aca="false">(X88/Y88)</f>
        <v>48.1111903064861</v>
      </c>
      <c r="AA88" s="4" t="n">
        <f aca="false">(Q88+Q105+Q122)/3</f>
        <v>0.254222222222222</v>
      </c>
      <c r="AB88" s="5" t="n">
        <v>0.00244</v>
      </c>
      <c r="AC88" s="5" t="n">
        <f aca="false">(S88+S105+S122)/3</f>
        <v>0.000260666666666667</v>
      </c>
      <c r="AG88" s="3"/>
      <c r="AH88" s="3"/>
      <c r="AI88" s="3"/>
    </row>
    <row r="89" customFormat="false" ht="12.8" hidden="false" customHeight="false" outlineLevel="0" collapsed="false">
      <c r="A89" s="0" t="s">
        <v>11</v>
      </c>
      <c r="B89" s="0" t="n">
        <v>1</v>
      </c>
      <c r="C89" s="0" t="n">
        <v>100</v>
      </c>
      <c r="D89" s="0" t="n">
        <v>20</v>
      </c>
      <c r="E89" s="0" t="n">
        <v>0.969</v>
      </c>
      <c r="G89" s="0" t="n">
        <v>0.76</v>
      </c>
      <c r="H89" s="0" t="n">
        <v>0.003253</v>
      </c>
      <c r="I89" s="0" t="n">
        <v>0.001042</v>
      </c>
      <c r="U89" s="0" t="s">
        <v>12</v>
      </c>
      <c r="V89" s="0" t="n">
        <v>5</v>
      </c>
      <c r="W89" s="0" t="n">
        <v>100</v>
      </c>
      <c r="X89" s="0" t="n">
        <v>20</v>
      </c>
      <c r="Y89" s="4" t="n">
        <f aca="false">(O89+O106+O123)/3</f>
        <v>0.305444444444444</v>
      </c>
      <c r="Z89" s="3" t="n">
        <f aca="false">(X89/Y89)</f>
        <v>65.478355765733</v>
      </c>
      <c r="AA89" s="4" t="n">
        <f aca="false">(Q89+Q106+Q123)/3</f>
        <v>0.247111111111111</v>
      </c>
      <c r="AB89" s="5" t="n">
        <v>0.003253</v>
      </c>
      <c r="AC89" s="5" t="n">
        <f aca="false">(S89+S106+S123)/3</f>
        <v>0.000346444444444444</v>
      </c>
      <c r="AH89" s="3"/>
      <c r="AI89" s="3"/>
    </row>
    <row r="90" customFormat="false" ht="12.8" hidden="false" customHeight="false" outlineLevel="0" collapsed="false">
      <c r="A90" s="0" t="s">
        <v>11</v>
      </c>
      <c r="B90" s="0" t="n">
        <v>1</v>
      </c>
      <c r="C90" s="0" t="n">
        <v>100</v>
      </c>
      <c r="D90" s="0" t="n">
        <v>25</v>
      </c>
      <c r="E90" s="0" t="n">
        <v>0.984</v>
      </c>
      <c r="G90" s="0" t="n">
        <v>0.814</v>
      </c>
      <c r="H90" s="0" t="n">
        <v>0.004067</v>
      </c>
      <c r="I90" s="0" t="n">
        <v>0.001298</v>
      </c>
      <c r="U90" s="0" t="s">
        <v>12</v>
      </c>
      <c r="V90" s="0" t="n">
        <v>5</v>
      </c>
      <c r="W90" s="0" t="n">
        <v>100</v>
      </c>
      <c r="X90" s="0" t="n">
        <v>25</v>
      </c>
      <c r="Y90" s="4" t="n">
        <f aca="false">(O90+O107+O124)/3</f>
        <v>0.289666666666667</v>
      </c>
      <c r="Z90" s="3" t="n">
        <f aca="false">(X90/Y90)</f>
        <v>86.3060989643268</v>
      </c>
      <c r="AA90" s="4" t="n">
        <f aca="false">(Q90+Q107+Q124)/3</f>
        <v>0.234444444444444</v>
      </c>
      <c r="AB90" s="5" t="n">
        <v>0.004067</v>
      </c>
      <c r="AC90" s="5" t="n">
        <f aca="false">(S90+S107+S124)/3</f>
        <v>0.000433888888888889</v>
      </c>
      <c r="AH90" s="3"/>
      <c r="AI90" s="3"/>
    </row>
    <row r="91" customFormat="false" ht="12.8" hidden="false" customHeight="false" outlineLevel="0" collapsed="false">
      <c r="A91" s="0" t="s">
        <v>11</v>
      </c>
      <c r="B91" s="0" t="n">
        <v>1</v>
      </c>
      <c r="C91" s="0" t="n">
        <v>100</v>
      </c>
      <c r="D91" s="0" t="n">
        <v>50</v>
      </c>
      <c r="E91" s="0" t="n">
        <v>1.007</v>
      </c>
      <c r="G91" s="0" t="n">
        <v>0.829</v>
      </c>
      <c r="H91" s="0" t="n">
        <v>0.008133</v>
      </c>
      <c r="I91" s="0" t="n">
        <v>0.002604</v>
      </c>
      <c r="U91" s="0" t="s">
        <v>12</v>
      </c>
      <c r="V91" s="0" t="n">
        <v>5</v>
      </c>
      <c r="W91" s="0" t="n">
        <v>100</v>
      </c>
      <c r="X91" s="0" t="n">
        <v>50</v>
      </c>
      <c r="Y91" s="4" t="n">
        <f aca="false">(O91+O108+O125)/3</f>
        <v>0.304555555555556</v>
      </c>
      <c r="Z91" s="3" t="n">
        <f aca="false">(X91/Y91)</f>
        <v>164.173659248449</v>
      </c>
      <c r="AA91" s="4" t="n">
        <f aca="false">(Q91+Q108+Q125)/3</f>
        <v>0.236555555555556</v>
      </c>
      <c r="AB91" s="5" t="n">
        <v>0.008133</v>
      </c>
      <c r="AC91" s="5" t="n">
        <f aca="false">(S91+S108+S125)/3</f>
        <v>0.000867444444444445</v>
      </c>
    </row>
    <row r="92" customFormat="false" ht="12.8" hidden="false" customHeight="false" outlineLevel="0" collapsed="false">
      <c r="A92" s="0" t="s">
        <v>11</v>
      </c>
      <c r="B92" s="0" t="n">
        <v>1</v>
      </c>
      <c r="C92" s="0" t="n">
        <v>100</v>
      </c>
      <c r="D92" s="0" t="n">
        <v>75</v>
      </c>
      <c r="E92" s="0" t="n">
        <v>1.811</v>
      </c>
      <c r="G92" s="0" t="n">
        <v>1.61</v>
      </c>
      <c r="H92" s="0" t="n">
        <v>0.0122</v>
      </c>
      <c r="I92" s="0" t="n">
        <v>0.003891</v>
      </c>
      <c r="U92" s="0" t="s">
        <v>12</v>
      </c>
      <c r="V92" s="0" t="n">
        <v>5</v>
      </c>
      <c r="W92" s="0" t="n">
        <v>100</v>
      </c>
      <c r="X92" s="0" t="n">
        <v>75</v>
      </c>
      <c r="Y92" s="4" t="n">
        <f aca="false">(O92+O109+O126)/3</f>
        <v>0.277888888888889</v>
      </c>
      <c r="Z92" s="3" t="n">
        <f aca="false">(X92/Y92)</f>
        <v>269.892043182727</v>
      </c>
      <c r="AA92" s="4" t="n">
        <f aca="false">(Q92+Q109+Q126)/3</f>
        <v>0.208111111111111</v>
      </c>
      <c r="AB92" s="5" t="n">
        <v>0.0122</v>
      </c>
      <c r="AC92" s="5" t="n">
        <f aca="false">(S92+S109+S126)/3</f>
        <v>0.00129911111111111</v>
      </c>
    </row>
    <row r="93" customFormat="false" ht="12.8" hidden="false" customHeight="false" outlineLevel="0" collapsed="false">
      <c r="A93" s="0" t="s">
        <v>11</v>
      </c>
      <c r="B93" s="0" t="n">
        <v>1</v>
      </c>
      <c r="C93" s="0" t="n">
        <v>100</v>
      </c>
      <c r="D93" s="0" t="n">
        <v>100</v>
      </c>
      <c r="E93" s="0" t="n">
        <v>1.849</v>
      </c>
      <c r="G93" s="0" t="n">
        <v>1.604</v>
      </c>
      <c r="H93" s="0" t="n">
        <v>0.016267</v>
      </c>
      <c r="I93" s="0" t="n">
        <v>0.005208</v>
      </c>
      <c r="U93" s="0" t="s">
        <v>12</v>
      </c>
      <c r="V93" s="0" t="n">
        <v>5</v>
      </c>
      <c r="W93" s="0" t="n">
        <v>100</v>
      </c>
      <c r="X93" s="0" t="n">
        <v>100</v>
      </c>
      <c r="Y93" s="4" t="n">
        <f aca="false">(O93+O110+O127)/3</f>
        <v>0.42</v>
      </c>
      <c r="Z93" s="3" t="n">
        <f aca="false">(X93/Y93)</f>
        <v>238.095238095238</v>
      </c>
      <c r="AA93" s="4" t="n">
        <f aca="false">(Q93+Q110+Q127)/3</f>
        <v>0.312444444444444</v>
      </c>
      <c r="AB93" s="5" t="n">
        <v>0.0162663333333333</v>
      </c>
      <c r="AC93" s="5" t="n">
        <f aca="false">(S93+S110+S127)/3</f>
        <v>0.00173588888888889</v>
      </c>
    </row>
    <row r="94" customFormat="false" ht="12.8" hidden="false" customHeight="false" outlineLevel="0" collapsed="false">
      <c r="A94" s="0" t="s">
        <v>11</v>
      </c>
      <c r="B94" s="0" t="n">
        <v>1</v>
      </c>
      <c r="C94" s="0" t="n">
        <v>100</v>
      </c>
      <c r="D94" s="0" t="n">
        <v>150</v>
      </c>
      <c r="E94" s="0" t="n">
        <v>1.726</v>
      </c>
      <c r="G94" s="0" t="n">
        <v>1.302</v>
      </c>
      <c r="H94" s="0" t="n">
        <v>0.0244</v>
      </c>
      <c r="I94" s="0" t="n">
        <v>0.007804</v>
      </c>
      <c r="U94" s="0" t="s">
        <v>12</v>
      </c>
      <c r="V94" s="0" t="n">
        <v>5</v>
      </c>
      <c r="W94" s="0" t="n">
        <v>100</v>
      </c>
      <c r="X94" s="0" t="n">
        <v>150</v>
      </c>
      <c r="Y94" s="4" t="n">
        <f aca="false">(O94+O111+O128)/3</f>
        <v>0.563222222222222</v>
      </c>
      <c r="Z94" s="3" t="n">
        <f aca="false">(X94/Y94)</f>
        <v>266.324718879463</v>
      </c>
      <c r="AA94" s="4" t="n">
        <f aca="false">(Q94+Q111+Q128)/3</f>
        <v>0.405555555555556</v>
      </c>
      <c r="AB94" s="5" t="n">
        <v>0.0244</v>
      </c>
      <c r="AC94" s="5" t="n">
        <f aca="false">(S94+S111+S128)/3</f>
        <v>0.00260266666666667</v>
      </c>
    </row>
    <row r="95" customFormat="false" ht="12.8" hidden="false" customHeight="false" outlineLevel="0" collapsed="false">
      <c r="A95" s="0" t="s">
        <v>11</v>
      </c>
      <c r="B95" s="0" t="n">
        <v>1</v>
      </c>
      <c r="C95" s="0" t="n">
        <v>100</v>
      </c>
      <c r="D95" s="0" t="n">
        <v>200</v>
      </c>
      <c r="E95" s="0" t="n">
        <v>1.571</v>
      </c>
      <c r="G95" s="0" t="n">
        <v>1.199</v>
      </c>
      <c r="H95" s="0" t="n">
        <v>0.032533</v>
      </c>
      <c r="I95" s="0" t="n">
        <v>0.010397</v>
      </c>
      <c r="U95" s="0" t="s">
        <v>12</v>
      </c>
      <c r="V95" s="0" t="n">
        <v>5</v>
      </c>
      <c r="W95" s="0" t="n">
        <v>100</v>
      </c>
      <c r="X95" s="0" t="n">
        <v>200</v>
      </c>
      <c r="Y95" s="4" t="n">
        <f aca="false">(O95+O112+O129)/3</f>
        <v>0.666777777777778</v>
      </c>
      <c r="Z95" s="3" t="n">
        <f aca="false">(X95/Y95)</f>
        <v>299.950008331945</v>
      </c>
      <c r="AA95" s="4" t="n">
        <f aca="false">(Q95+Q112+Q129)/3</f>
        <v>0.513333333333333</v>
      </c>
      <c r="AB95" s="5" t="n">
        <v>0.032533</v>
      </c>
      <c r="AC95" s="5" t="n">
        <f aca="false">(S95+S112+S129)/3</f>
        <v>0.00346833333333333</v>
      </c>
    </row>
    <row r="96" customFormat="false" ht="12.8" hidden="false" customHeight="false" outlineLevel="0" collapsed="false">
      <c r="A96" s="0" t="s">
        <v>11</v>
      </c>
      <c r="B96" s="0" t="n">
        <v>1</v>
      </c>
      <c r="C96" s="0" t="n">
        <v>100</v>
      </c>
      <c r="D96" s="0" t="n">
        <v>250</v>
      </c>
      <c r="E96" s="0" t="n">
        <v>2.5</v>
      </c>
      <c r="G96" s="0" t="n">
        <v>2.039</v>
      </c>
      <c r="H96" s="0" t="n">
        <v>0.040666</v>
      </c>
      <c r="I96" s="0" t="n">
        <v>0.012996</v>
      </c>
      <c r="U96" s="0" t="s">
        <v>12</v>
      </c>
      <c r="V96" s="0" t="n">
        <v>5</v>
      </c>
      <c r="W96" s="0" t="n">
        <v>100</v>
      </c>
      <c r="X96" s="0" t="n">
        <v>250</v>
      </c>
      <c r="Y96" s="4" t="n">
        <f aca="false">(O96+O113+O130)/3</f>
        <v>0.588333333333333</v>
      </c>
      <c r="Z96" s="3" t="n">
        <f aca="false">(X96/Y96)</f>
        <v>424.929178470255</v>
      </c>
      <c r="AA96" s="4" t="n">
        <f aca="false">(Q96+Q113+Q130)/3</f>
        <v>0.414333333333333</v>
      </c>
      <c r="AB96" s="5" t="n">
        <v>0.0406663333333333</v>
      </c>
      <c r="AC96" s="5" t="n">
        <f aca="false">(S96+S113+S130)/3</f>
        <v>0.00433366666666667</v>
      </c>
    </row>
    <row r="97" customFormat="false" ht="12.8" hidden="false" customHeight="false" outlineLevel="0" collapsed="false">
      <c r="A97" s="0" t="s">
        <v>11</v>
      </c>
      <c r="B97" s="0" t="n">
        <v>1</v>
      </c>
      <c r="C97" s="0" t="n">
        <v>100</v>
      </c>
      <c r="D97" s="0" t="n">
        <v>500</v>
      </c>
      <c r="E97" s="0" t="n">
        <v>2.919</v>
      </c>
      <c r="G97" s="0" t="n">
        <v>1.938</v>
      </c>
      <c r="H97" s="0" t="n">
        <v>0.081333</v>
      </c>
      <c r="I97" s="0" t="n">
        <v>0.026006</v>
      </c>
      <c r="U97" s="0" t="s">
        <v>12</v>
      </c>
      <c r="V97" s="0" t="n">
        <v>5</v>
      </c>
      <c r="W97" s="0" t="n">
        <v>100</v>
      </c>
      <c r="X97" s="0" t="n">
        <v>500</v>
      </c>
      <c r="Y97" s="4" t="n">
        <f aca="false">(O97+O114+O131)/3</f>
        <v>0.983444444444444</v>
      </c>
      <c r="Z97" s="3" t="n">
        <f aca="false">(X97/Y97)</f>
        <v>508.417128008135</v>
      </c>
      <c r="AA97" s="4" t="n">
        <f aca="false">(Q97+Q114+Q131)/3</f>
        <v>0.621444444444445</v>
      </c>
      <c r="AB97" s="5" t="n">
        <v>0.081333</v>
      </c>
      <c r="AC97" s="5" t="n">
        <f aca="false">(S97+S114+S131)/3</f>
        <v>0.00866411111111111</v>
      </c>
    </row>
    <row r="98" customFormat="false" ht="12.8" hidden="false" customHeight="false" outlineLevel="0" collapsed="false">
      <c r="A98" s="0" t="s">
        <v>11</v>
      </c>
      <c r="B98" s="0" t="n">
        <v>1</v>
      </c>
      <c r="C98" s="0" t="n">
        <v>100</v>
      </c>
      <c r="D98" s="0" t="n">
        <v>750</v>
      </c>
      <c r="E98" s="0" t="n">
        <v>5.136</v>
      </c>
      <c r="G98" s="0" t="n">
        <v>3.336</v>
      </c>
      <c r="H98" s="0" t="n">
        <v>0.121999</v>
      </c>
      <c r="I98" s="0" t="n">
        <v>0.038996</v>
      </c>
      <c r="U98" s="0" t="s">
        <v>12</v>
      </c>
      <c r="V98" s="0" t="n">
        <v>5</v>
      </c>
      <c r="W98" s="0" t="n">
        <v>100</v>
      </c>
      <c r="X98" s="0" t="n">
        <v>750</v>
      </c>
      <c r="Y98" s="4" t="n">
        <f aca="false">(O98+O115+O132)/3</f>
        <v>1.45233333333333</v>
      </c>
      <c r="Z98" s="3" t="n">
        <f aca="false">(X98/Y98)</f>
        <v>516.410374110627</v>
      </c>
      <c r="AA98" s="4" t="n">
        <f aca="false">(Q98+Q115+Q132)/3</f>
        <v>0.929222222222222</v>
      </c>
      <c r="AB98" s="5" t="n">
        <v>0.121999333333333</v>
      </c>
      <c r="AC98" s="5" t="n">
        <f aca="false">(S98+S115+S132)/3</f>
        <v>0.0129954444444444</v>
      </c>
    </row>
    <row r="99" customFormat="false" ht="12.8" hidden="false" customHeight="false" outlineLevel="0" collapsed="false">
      <c r="A99" s="0" t="s">
        <v>11</v>
      </c>
      <c r="B99" s="0" t="n">
        <v>1</v>
      </c>
      <c r="C99" s="0" t="n">
        <v>100</v>
      </c>
      <c r="D99" s="0" t="n">
        <v>1000</v>
      </c>
      <c r="E99" s="0" t="n">
        <v>5.379</v>
      </c>
      <c r="G99" s="0" t="n">
        <v>3.544</v>
      </c>
      <c r="H99" s="0" t="n">
        <v>0.162666</v>
      </c>
      <c r="I99" s="0" t="n">
        <v>0.051951</v>
      </c>
      <c r="U99" s="0" t="s">
        <v>12</v>
      </c>
      <c r="V99" s="0" t="n">
        <v>5</v>
      </c>
      <c r="W99" s="0" t="n">
        <v>100</v>
      </c>
      <c r="X99" s="0" t="n">
        <v>1000</v>
      </c>
      <c r="Y99" s="4" t="n">
        <f aca="false">(O99+O116+O133)/3</f>
        <v>1.68977777777778</v>
      </c>
      <c r="Z99" s="3" t="n">
        <f aca="false">(X99/Y99)</f>
        <v>591.793792740663</v>
      </c>
      <c r="AA99" s="4" t="n">
        <f aca="false">(Q99+Q116+Q133)/3</f>
        <v>1.08288888888889</v>
      </c>
      <c r="AB99" s="5" t="n">
        <v>0.162665</v>
      </c>
      <c r="AC99" s="5" t="n">
        <f aca="false">(S99+S116+S133)/3</f>
        <v>0.017336</v>
      </c>
    </row>
    <row r="100" customFormat="false" ht="12.8" hidden="false" customHeight="false" outlineLevel="0" collapsed="false">
      <c r="A100" s="0" t="s">
        <v>11</v>
      </c>
      <c r="B100" s="0" t="n">
        <v>1</v>
      </c>
      <c r="C100" s="0" t="n">
        <v>100</v>
      </c>
      <c r="D100" s="0" t="n">
        <v>1500</v>
      </c>
      <c r="E100" s="0" t="n">
        <v>8.064</v>
      </c>
      <c r="G100" s="0" t="n">
        <v>5.316</v>
      </c>
      <c r="H100" s="0" t="n">
        <v>0.243998</v>
      </c>
      <c r="I100" s="0" t="n">
        <v>0.077943</v>
      </c>
      <c r="U100" s="0" t="s">
        <v>12</v>
      </c>
      <c r="V100" s="0" t="n">
        <v>5</v>
      </c>
      <c r="W100" s="0" t="n">
        <v>100</v>
      </c>
      <c r="X100" s="0" t="n">
        <v>1500</v>
      </c>
      <c r="Y100" s="4" t="n">
        <f aca="false">(O100+O117+O134)/3</f>
        <v>2.43188888888889</v>
      </c>
      <c r="Z100" s="3" t="n">
        <f aca="false">(X100/Y100)</f>
        <v>616.804495819436</v>
      </c>
      <c r="AA100" s="4" t="n">
        <f aca="false">(Q100+Q117+Q134)/3</f>
        <v>1.48188888888889</v>
      </c>
      <c r="AB100" s="5" t="n">
        <v>0.243998333333333</v>
      </c>
      <c r="AC100" s="5" t="n">
        <f aca="false">(S100+S117+S134)/3</f>
        <v>0.0260031111111111</v>
      </c>
    </row>
    <row r="101" customFormat="false" ht="12.8" hidden="false" customHeight="false" outlineLevel="0" collapsed="false">
      <c r="A101" s="0" t="s">
        <v>11</v>
      </c>
      <c r="B101" s="0" t="n">
        <v>1</v>
      </c>
      <c r="C101" s="0" t="n">
        <v>100</v>
      </c>
      <c r="D101" s="0" t="n">
        <v>2000</v>
      </c>
      <c r="E101" s="0" t="n">
        <v>10.549</v>
      </c>
      <c r="G101" s="0" t="n">
        <v>6.53</v>
      </c>
      <c r="H101" s="0" t="n">
        <v>0.325331</v>
      </c>
      <c r="I101" s="0" t="n">
        <v>0.103947</v>
      </c>
      <c r="U101" s="0" t="s">
        <v>12</v>
      </c>
      <c r="V101" s="0" t="n">
        <v>5</v>
      </c>
      <c r="W101" s="0" t="n">
        <v>100</v>
      </c>
      <c r="X101" s="0" t="n">
        <v>2000</v>
      </c>
      <c r="Y101" s="4" t="n">
        <f aca="false">(O101+O118+O135)/3</f>
        <v>3.582</v>
      </c>
      <c r="Z101" s="3" t="n">
        <f aca="false">(X101/Y101)</f>
        <v>558.347292015634</v>
      </c>
      <c r="AA101" s="4" t="n">
        <f aca="false">(Q101+Q118+Q135)/3</f>
        <v>2.18722222222222</v>
      </c>
      <c r="AB101" s="5" t="n">
        <v>0.325331</v>
      </c>
      <c r="AC101" s="5" t="n">
        <f aca="false">(S101+S118+S135)/3</f>
        <v>0.0346655555555556</v>
      </c>
    </row>
    <row r="102" customFormat="false" ht="12.8" hidden="false" customHeight="false" outlineLevel="0" collapsed="false">
      <c r="A102" s="0" t="s">
        <v>11</v>
      </c>
      <c r="B102" s="0" t="n">
        <v>1</v>
      </c>
      <c r="C102" s="0" t="n">
        <v>100</v>
      </c>
      <c r="D102" s="0" t="n">
        <v>3000</v>
      </c>
      <c r="E102" s="0" t="n">
        <v>17.604</v>
      </c>
      <c r="G102" s="0" t="n">
        <v>10.922</v>
      </c>
      <c r="H102" s="0" t="n">
        <v>0.487997</v>
      </c>
      <c r="I102" s="0" t="n">
        <v>0.156</v>
      </c>
      <c r="U102" s="0" t="s">
        <v>12</v>
      </c>
      <c r="V102" s="0" t="n">
        <v>5</v>
      </c>
      <c r="W102" s="0" t="n">
        <v>100</v>
      </c>
      <c r="X102" s="0" t="n">
        <v>3000</v>
      </c>
      <c r="Y102" s="4" t="n">
        <f aca="false">(O102+O119+O136)/3</f>
        <v>6.03688888888889</v>
      </c>
      <c r="Z102" s="3" t="n">
        <f aca="false">(X102/Y102)</f>
        <v>496.944710299639</v>
      </c>
      <c r="AA102" s="4" t="n">
        <f aca="false">(Q102+Q119+Q136)/3</f>
        <v>3.78555555555556</v>
      </c>
      <c r="AB102" s="5" t="n">
        <v>0.487996333333333</v>
      </c>
      <c r="AC102" s="5" t="n">
        <f aca="false">(S102+S119+S136)/3</f>
        <v>0.051987</v>
      </c>
    </row>
    <row r="103" customFormat="false" ht="12.8" hidden="false" customHeight="false" outlineLevel="0" collapsed="false">
      <c r="A103" s="0" t="s">
        <v>0</v>
      </c>
      <c r="B103" s="0" t="s">
        <v>1</v>
      </c>
      <c r="C103" s="0" t="s">
        <v>2</v>
      </c>
      <c r="D103" s="0" t="s">
        <v>3</v>
      </c>
      <c r="E103" s="0" t="s">
        <v>4</v>
      </c>
      <c r="F103" s="0" t="s">
        <v>5</v>
      </c>
      <c r="G103" s="0" t="s">
        <v>6</v>
      </c>
      <c r="H103" s="0" t="s">
        <v>7</v>
      </c>
      <c r="I103" s="0" t="s">
        <v>8</v>
      </c>
      <c r="K103" s="0" t="s">
        <v>0</v>
      </c>
      <c r="L103" s="0" t="s">
        <v>1</v>
      </c>
      <c r="M103" s="0" t="s">
        <v>2</v>
      </c>
      <c r="N103" s="0" t="s">
        <v>3</v>
      </c>
      <c r="O103" s="0" t="s">
        <v>4</v>
      </c>
      <c r="P103" s="0" t="s">
        <v>5</v>
      </c>
      <c r="Q103" s="0" t="s">
        <v>6</v>
      </c>
      <c r="R103" s="0" t="s">
        <v>7</v>
      </c>
      <c r="S103" s="0" t="s">
        <v>8</v>
      </c>
    </row>
    <row r="104" customFormat="false" ht="12.8" hidden="false" customHeight="false" outlineLevel="0" collapsed="false">
      <c r="A104" s="0" t="s">
        <v>12</v>
      </c>
      <c r="B104" s="0" t="n">
        <v>1</v>
      </c>
      <c r="C104" s="0" t="n">
        <v>100</v>
      </c>
      <c r="D104" s="0" t="n">
        <v>10</v>
      </c>
      <c r="E104" s="0" t="n">
        <v>0.928</v>
      </c>
      <c r="F104" s="0" t="n">
        <f aca="false">D104/E104</f>
        <v>10.7758620689655</v>
      </c>
      <c r="G104" s="0" t="n">
        <v>0.802</v>
      </c>
      <c r="H104" s="0" t="n">
        <v>0.001661</v>
      </c>
      <c r="I104" s="0" t="n">
        <v>0.000528</v>
      </c>
      <c r="K104" s="0" t="s">
        <v>12</v>
      </c>
      <c r="L104" s="0" t="n">
        <v>1</v>
      </c>
      <c r="M104" s="0" t="n">
        <v>100</v>
      </c>
      <c r="N104" s="0" t="n">
        <v>10</v>
      </c>
      <c r="O104" s="4" t="n">
        <f aca="false">(E104+E121+E138)/3</f>
        <v>0.685666666666667</v>
      </c>
      <c r="P104" s="3" t="n">
        <f aca="false">(N104/O104)</f>
        <v>14.5843461351483</v>
      </c>
      <c r="Q104" s="4" t="n">
        <f aca="false">(G104+G121+G138)/3</f>
        <v>0.602333333333333</v>
      </c>
      <c r="R104" s="5" t="n">
        <f aca="false">(H104+H121+H138)/3</f>
        <v>0.001661</v>
      </c>
      <c r="S104" s="5" t="n">
        <f aca="false">(I104+I121+I138)/3</f>
        <v>0.000536</v>
      </c>
    </row>
    <row r="105" customFormat="false" ht="12.8" hidden="false" customHeight="false" outlineLevel="0" collapsed="false">
      <c r="A105" s="0" t="s">
        <v>12</v>
      </c>
      <c r="B105" s="0" t="n">
        <v>1</v>
      </c>
      <c r="C105" s="0" t="n">
        <v>100</v>
      </c>
      <c r="D105" s="0" t="n">
        <v>15</v>
      </c>
      <c r="E105" s="0" t="n">
        <v>0.969</v>
      </c>
      <c r="G105" s="0" t="n">
        <v>0.791</v>
      </c>
      <c r="H105" s="0" t="n">
        <v>0.00244</v>
      </c>
      <c r="I105" s="0" t="n">
        <v>0.000781</v>
      </c>
      <c r="K105" s="0" t="s">
        <v>12</v>
      </c>
      <c r="L105" s="0" t="n">
        <v>1</v>
      </c>
      <c r="M105" s="0" t="n">
        <v>100</v>
      </c>
      <c r="N105" s="0" t="n">
        <v>15</v>
      </c>
      <c r="O105" s="4" t="n">
        <f aca="false">(E105+E122+E139)/3</f>
        <v>0.935333333333333</v>
      </c>
      <c r="P105" s="3" t="n">
        <f aca="false">(N105/O105)</f>
        <v>16.0370634354954</v>
      </c>
      <c r="Q105" s="4" t="n">
        <f aca="false">(G105+G122+G139)/3</f>
        <v>0.762666666666667</v>
      </c>
      <c r="R105" s="5" t="n">
        <f aca="false">(H105+H122+H139)/3</f>
        <v>0.00244</v>
      </c>
      <c r="S105" s="5" t="n">
        <f aca="false">(I105+I122+I139)/3</f>
        <v>0.000782</v>
      </c>
    </row>
    <row r="106" customFormat="false" ht="12.8" hidden="false" customHeight="false" outlineLevel="0" collapsed="false">
      <c r="A106" s="0" t="s">
        <v>12</v>
      </c>
      <c r="B106" s="0" t="n">
        <v>1</v>
      </c>
      <c r="C106" s="0" t="n">
        <v>100</v>
      </c>
      <c r="D106" s="0" t="n">
        <v>20</v>
      </c>
      <c r="E106" s="0" t="n">
        <v>0.972</v>
      </c>
      <c r="G106" s="0" t="n">
        <v>0.79</v>
      </c>
      <c r="H106" s="0" t="n">
        <v>0.003253</v>
      </c>
      <c r="I106" s="0" t="n">
        <v>0.001037</v>
      </c>
      <c r="K106" s="0" t="s">
        <v>12</v>
      </c>
      <c r="L106" s="0" t="n">
        <v>1</v>
      </c>
      <c r="M106" s="0" t="n">
        <v>100</v>
      </c>
      <c r="N106" s="0" t="n">
        <v>20</v>
      </c>
      <c r="O106" s="4" t="n">
        <f aca="false">(E106+E123+E140)/3</f>
        <v>0.916333333333333</v>
      </c>
      <c r="P106" s="3" t="n">
        <f aca="false">(N106/O106)</f>
        <v>21.8261185885777</v>
      </c>
      <c r="Q106" s="4" t="n">
        <f aca="false">(G106+G123+G140)/3</f>
        <v>0.741333333333333</v>
      </c>
      <c r="R106" s="5" t="n">
        <f aca="false">(H106+H123+H140)/3</f>
        <v>0.003253</v>
      </c>
      <c r="S106" s="5" t="n">
        <f aca="false">(I106+I123+I140)/3</f>
        <v>0.00103933333333333</v>
      </c>
    </row>
    <row r="107" customFormat="false" ht="12.8" hidden="false" customHeight="false" outlineLevel="0" collapsed="false">
      <c r="A107" s="0" t="s">
        <v>12</v>
      </c>
      <c r="B107" s="0" t="n">
        <v>1</v>
      </c>
      <c r="C107" s="0" t="n">
        <v>100</v>
      </c>
      <c r="D107" s="0" t="n">
        <v>25</v>
      </c>
      <c r="E107" s="0" t="n">
        <v>0.877</v>
      </c>
      <c r="G107" s="0" t="n">
        <v>0.716</v>
      </c>
      <c r="H107" s="0" t="n">
        <v>0.004067</v>
      </c>
      <c r="I107" s="0" t="n">
        <v>0.001306</v>
      </c>
      <c r="K107" s="0" t="s">
        <v>12</v>
      </c>
      <c r="L107" s="0" t="n">
        <v>1</v>
      </c>
      <c r="M107" s="0" t="n">
        <v>100</v>
      </c>
      <c r="N107" s="0" t="n">
        <v>25</v>
      </c>
      <c r="O107" s="4" t="n">
        <f aca="false">(E107+E124+E141)/3</f>
        <v>0.869</v>
      </c>
      <c r="P107" s="3" t="n">
        <f aca="false">(N107/O107)</f>
        <v>28.7686996547756</v>
      </c>
      <c r="Q107" s="4" t="n">
        <f aca="false">(G107+G124+G141)/3</f>
        <v>0.703333333333333</v>
      </c>
      <c r="R107" s="5" t="n">
        <f aca="false">(H107+H124+H141)/3</f>
        <v>0.004067</v>
      </c>
      <c r="S107" s="5" t="n">
        <f aca="false">(I107+I124+I141)/3</f>
        <v>0.00130166666666667</v>
      </c>
    </row>
    <row r="108" customFormat="false" ht="12.8" hidden="false" customHeight="false" outlineLevel="0" collapsed="false">
      <c r="A108" s="0" t="s">
        <v>12</v>
      </c>
      <c r="B108" s="0" t="n">
        <v>1</v>
      </c>
      <c r="C108" s="0" t="n">
        <v>100</v>
      </c>
      <c r="D108" s="0" t="n">
        <v>50</v>
      </c>
      <c r="E108" s="0" t="n">
        <v>0.916</v>
      </c>
      <c r="G108" s="0" t="n">
        <v>0.721</v>
      </c>
      <c r="H108" s="0" t="n">
        <v>0.008133</v>
      </c>
      <c r="I108" s="0" t="n">
        <v>0.002599</v>
      </c>
      <c r="K108" s="0" t="s">
        <v>12</v>
      </c>
      <c r="L108" s="0" t="n">
        <v>1</v>
      </c>
      <c r="M108" s="0" t="n">
        <v>100</v>
      </c>
      <c r="N108" s="0" t="n">
        <v>50</v>
      </c>
      <c r="O108" s="4" t="n">
        <f aca="false">(E108+E125+E142)/3</f>
        <v>0.913666666666667</v>
      </c>
      <c r="P108" s="3" t="n">
        <f aca="false">(N108/O108)</f>
        <v>54.7245530828165</v>
      </c>
      <c r="Q108" s="4" t="n">
        <f aca="false">(G108+G125+G142)/3</f>
        <v>0.709666666666667</v>
      </c>
      <c r="R108" s="5" t="n">
        <f aca="false">(H108+H125+H142)/3</f>
        <v>0.008133</v>
      </c>
      <c r="S108" s="5" t="n">
        <f aca="false">(I108+I125+I142)/3</f>
        <v>0.00260233333333333</v>
      </c>
    </row>
    <row r="109" customFormat="false" ht="12.8" hidden="false" customHeight="false" outlineLevel="0" collapsed="false">
      <c r="A109" s="0" t="s">
        <v>12</v>
      </c>
      <c r="B109" s="0" t="n">
        <v>1</v>
      </c>
      <c r="C109" s="0" t="n">
        <v>100</v>
      </c>
      <c r="D109" s="0" t="n">
        <v>75</v>
      </c>
      <c r="E109" s="0" t="n">
        <v>0.781</v>
      </c>
      <c r="G109" s="0" t="n">
        <v>0.573</v>
      </c>
      <c r="H109" s="0" t="n">
        <v>0.0122</v>
      </c>
      <c r="I109" s="0" t="n">
        <v>0.003899</v>
      </c>
      <c r="K109" s="0" t="s">
        <v>12</v>
      </c>
      <c r="L109" s="0" t="n">
        <v>1</v>
      </c>
      <c r="M109" s="0" t="n">
        <v>100</v>
      </c>
      <c r="N109" s="0" t="n">
        <v>75</v>
      </c>
      <c r="O109" s="4" t="n">
        <f aca="false">(E109+E126+E143)/3</f>
        <v>0.833666666666667</v>
      </c>
      <c r="P109" s="3" t="n">
        <f aca="false">(N109/O109)</f>
        <v>89.9640143942423</v>
      </c>
      <c r="Q109" s="4" t="n">
        <f aca="false">(G109+G126+G143)/3</f>
        <v>0.624333333333333</v>
      </c>
      <c r="R109" s="5" t="n">
        <f aca="false">(H109+H126+H143)/3</f>
        <v>0.0122</v>
      </c>
      <c r="S109" s="5" t="n">
        <f aca="false">(I109+I126+I143)/3</f>
        <v>0.00389733333333333</v>
      </c>
    </row>
    <row r="110" customFormat="false" ht="12.8" hidden="false" customHeight="false" outlineLevel="0" collapsed="false">
      <c r="A110" s="0" t="s">
        <v>12</v>
      </c>
      <c r="B110" s="0" t="n">
        <v>1</v>
      </c>
      <c r="C110" s="0" t="n">
        <v>100</v>
      </c>
      <c r="D110" s="0" t="n">
        <v>100</v>
      </c>
      <c r="E110" s="0" t="n">
        <v>0.809</v>
      </c>
      <c r="G110" s="0" t="n">
        <v>0.593</v>
      </c>
      <c r="H110" s="0" t="n">
        <v>0.016267</v>
      </c>
      <c r="I110" s="0" t="n">
        <v>0.005206</v>
      </c>
      <c r="K110" s="0" t="s">
        <v>12</v>
      </c>
      <c r="L110" s="0" t="n">
        <v>1</v>
      </c>
      <c r="M110" s="0" t="n">
        <v>100</v>
      </c>
      <c r="N110" s="0" t="n">
        <v>100</v>
      </c>
      <c r="O110" s="4" t="n">
        <f aca="false">(E110+E127+E144)/3</f>
        <v>1.26</v>
      </c>
      <c r="P110" s="3" t="n">
        <f aca="false">(N110/O110)</f>
        <v>79.3650793650794</v>
      </c>
      <c r="Q110" s="4" t="n">
        <f aca="false">(G110+G127+G144)/3</f>
        <v>0.937333333333333</v>
      </c>
      <c r="R110" s="5" t="n">
        <f aca="false">(H110+H127+H144)/3</f>
        <v>0.016267</v>
      </c>
      <c r="S110" s="5" t="n">
        <f aca="false">(I110+I127+I144)/3</f>
        <v>0.00520766666666667</v>
      </c>
    </row>
    <row r="111" customFormat="false" ht="12.8" hidden="false" customHeight="false" outlineLevel="0" collapsed="false">
      <c r="A111" s="0" t="s">
        <v>12</v>
      </c>
      <c r="B111" s="0" t="n">
        <v>1</v>
      </c>
      <c r="C111" s="0" t="n">
        <v>100</v>
      </c>
      <c r="D111" s="0" t="n">
        <v>150</v>
      </c>
      <c r="E111" s="0" t="n">
        <v>1.74</v>
      </c>
      <c r="G111" s="0" t="n">
        <v>1.235</v>
      </c>
      <c r="H111" s="0" t="n">
        <v>0.0244</v>
      </c>
      <c r="I111" s="0" t="n">
        <v>0.007807</v>
      </c>
      <c r="K111" s="0" t="s">
        <v>12</v>
      </c>
      <c r="L111" s="0" t="n">
        <v>1</v>
      </c>
      <c r="M111" s="0" t="n">
        <v>100</v>
      </c>
      <c r="N111" s="0" t="n">
        <v>150</v>
      </c>
      <c r="O111" s="4" t="n">
        <f aca="false">(E111+E128+E145)/3</f>
        <v>1.68966666666667</v>
      </c>
      <c r="P111" s="3" t="n">
        <f aca="false">(N111/O111)</f>
        <v>88.7749062931545</v>
      </c>
      <c r="Q111" s="4" t="n">
        <f aca="false">(G111+G128+G145)/3</f>
        <v>1.21666666666667</v>
      </c>
      <c r="R111" s="5" t="n">
        <f aca="false">(H111+H128+H145)/3</f>
        <v>0.0244</v>
      </c>
      <c r="S111" s="5" t="n">
        <f aca="false">(I111+I128+I145)/3</f>
        <v>0.007808</v>
      </c>
    </row>
    <row r="112" customFormat="false" ht="12.8" hidden="false" customHeight="false" outlineLevel="0" collapsed="false">
      <c r="A112" s="0" t="s">
        <v>12</v>
      </c>
      <c r="B112" s="0" t="n">
        <v>1</v>
      </c>
      <c r="C112" s="0" t="n">
        <v>100</v>
      </c>
      <c r="D112" s="0" t="n">
        <v>200</v>
      </c>
      <c r="E112" s="0" t="n">
        <v>2.523</v>
      </c>
      <c r="G112" s="0" t="n">
        <v>2.077</v>
      </c>
      <c r="H112" s="0" t="n">
        <v>0.032533</v>
      </c>
      <c r="I112" s="0" t="n">
        <v>0.010417</v>
      </c>
      <c r="K112" s="0" t="s">
        <v>12</v>
      </c>
      <c r="L112" s="0" t="n">
        <v>1</v>
      </c>
      <c r="M112" s="0" t="n">
        <v>100</v>
      </c>
      <c r="N112" s="0" t="n">
        <v>200</v>
      </c>
      <c r="O112" s="4" t="n">
        <f aca="false">(E112+E129+E146)/3</f>
        <v>2.00033333333333</v>
      </c>
      <c r="P112" s="3" t="n">
        <f aca="false">(N112/O112)</f>
        <v>99.9833361106482</v>
      </c>
      <c r="Q112" s="4" t="n">
        <f aca="false">(G112+G129+G146)/3</f>
        <v>1.54</v>
      </c>
      <c r="R112" s="5" t="n">
        <f aca="false">(H112+H129+H146)/3</f>
        <v>0.032533</v>
      </c>
      <c r="S112" s="5" t="n">
        <f aca="false">(I112+I129+I146)/3</f>
        <v>0.010405</v>
      </c>
    </row>
    <row r="113" customFormat="false" ht="12.8" hidden="false" customHeight="false" outlineLevel="0" collapsed="false">
      <c r="A113" s="0" t="s">
        <v>12</v>
      </c>
      <c r="B113" s="0" t="n">
        <v>1</v>
      </c>
      <c r="C113" s="0" t="n">
        <v>100</v>
      </c>
      <c r="D113" s="0" t="n">
        <v>250</v>
      </c>
      <c r="E113" s="0" t="n">
        <v>1.448</v>
      </c>
      <c r="G113" s="0" t="n">
        <v>0.893</v>
      </c>
      <c r="H113" s="0" t="n">
        <v>0.040666</v>
      </c>
      <c r="I113" s="0" t="n">
        <v>0.012985</v>
      </c>
      <c r="K113" s="0" t="s">
        <v>12</v>
      </c>
      <c r="L113" s="0" t="n">
        <v>1</v>
      </c>
      <c r="M113" s="0" t="n">
        <v>100</v>
      </c>
      <c r="N113" s="0" t="n">
        <v>250</v>
      </c>
      <c r="O113" s="4" t="n">
        <f aca="false">(E113+E130+E147)/3</f>
        <v>1.765</v>
      </c>
      <c r="P113" s="3" t="n">
        <f aca="false">(N113/O113)</f>
        <v>141.643059490085</v>
      </c>
      <c r="Q113" s="4" t="n">
        <f aca="false">(G113+G130+G147)/3</f>
        <v>1.243</v>
      </c>
      <c r="R113" s="5" t="n">
        <f aca="false">(H113+H130+H147)/3</f>
        <v>0.040666</v>
      </c>
      <c r="S113" s="5" t="n">
        <f aca="false">(I113+I130+I147)/3</f>
        <v>0.013001</v>
      </c>
    </row>
    <row r="114" customFormat="false" ht="12.8" hidden="false" customHeight="false" outlineLevel="0" collapsed="false">
      <c r="A114" s="0" t="s">
        <v>12</v>
      </c>
      <c r="B114" s="0" t="n">
        <v>1</v>
      </c>
      <c r="C114" s="0" t="n">
        <v>100</v>
      </c>
      <c r="D114" s="0" t="n">
        <v>500</v>
      </c>
      <c r="E114" s="0" t="n">
        <v>2.834</v>
      </c>
      <c r="G114" s="0" t="n">
        <v>1.684</v>
      </c>
      <c r="H114" s="0" t="n">
        <v>0.081333</v>
      </c>
      <c r="I114" s="0" t="n">
        <v>0.025981</v>
      </c>
      <c r="K114" s="0" t="s">
        <v>12</v>
      </c>
      <c r="L114" s="0" t="n">
        <v>1</v>
      </c>
      <c r="M114" s="0" t="n">
        <v>100</v>
      </c>
      <c r="N114" s="0" t="n">
        <v>500</v>
      </c>
      <c r="O114" s="4" t="n">
        <f aca="false">(E114+E131+E148)/3</f>
        <v>2.95033333333333</v>
      </c>
      <c r="P114" s="3" t="n">
        <f aca="false">(N114/O114)</f>
        <v>169.472376002712</v>
      </c>
      <c r="Q114" s="4" t="n">
        <f aca="false">(G114+G131+G148)/3</f>
        <v>1.86433333333333</v>
      </c>
      <c r="R114" s="5" t="n">
        <f aca="false">(H114+H131+H148)/3</f>
        <v>0.081333</v>
      </c>
      <c r="S114" s="5" t="n">
        <f aca="false">(I114+I131+I148)/3</f>
        <v>0.0259923333333333</v>
      </c>
    </row>
    <row r="115" customFormat="false" ht="12.8" hidden="false" customHeight="false" outlineLevel="0" collapsed="false">
      <c r="A115" s="0" t="s">
        <v>12</v>
      </c>
      <c r="B115" s="0" t="n">
        <v>1</v>
      </c>
      <c r="C115" s="0" t="n">
        <v>100</v>
      </c>
      <c r="D115" s="0" t="n">
        <v>750</v>
      </c>
      <c r="E115" s="0" t="n">
        <v>4.182</v>
      </c>
      <c r="G115" s="0" t="n">
        <v>2.837</v>
      </c>
      <c r="H115" s="0" t="n">
        <v>0.121999</v>
      </c>
      <c r="I115" s="0" t="n">
        <v>0.03898</v>
      </c>
      <c r="K115" s="0" t="s">
        <v>12</v>
      </c>
      <c r="L115" s="0" t="n">
        <v>1</v>
      </c>
      <c r="M115" s="0" t="n">
        <v>100</v>
      </c>
      <c r="N115" s="0" t="n">
        <v>750</v>
      </c>
      <c r="O115" s="4" t="n">
        <f aca="false">(E115+E132+E149)/3</f>
        <v>4.357</v>
      </c>
      <c r="P115" s="3" t="n">
        <f aca="false">(N115/O115)</f>
        <v>172.136791370209</v>
      </c>
      <c r="Q115" s="4" t="n">
        <f aca="false">(G115+G132+G149)/3</f>
        <v>2.78766666666667</v>
      </c>
      <c r="R115" s="5" t="n">
        <f aca="false">(H115+H132+H149)/3</f>
        <v>0.121999333333333</v>
      </c>
      <c r="S115" s="5" t="n">
        <f aca="false">(I115+I132+I149)/3</f>
        <v>0.0389863333333333</v>
      </c>
    </row>
    <row r="116" customFormat="false" ht="12.8" hidden="false" customHeight="false" outlineLevel="0" collapsed="false">
      <c r="A116" s="0" t="s">
        <v>12</v>
      </c>
      <c r="B116" s="0" t="n">
        <v>1</v>
      </c>
      <c r="C116" s="0" t="n">
        <v>100</v>
      </c>
      <c r="D116" s="0" t="n">
        <v>1000</v>
      </c>
      <c r="E116" s="0" t="n">
        <v>4.664</v>
      </c>
      <c r="G116" s="0" t="n">
        <v>2.921</v>
      </c>
      <c r="H116" s="0" t="n">
        <v>0.162666</v>
      </c>
      <c r="I116" s="0" t="n">
        <v>0.052035</v>
      </c>
      <c r="K116" s="0" t="s">
        <v>12</v>
      </c>
      <c r="L116" s="0" t="n">
        <v>1</v>
      </c>
      <c r="M116" s="0" t="n">
        <v>100</v>
      </c>
      <c r="N116" s="0" t="n">
        <v>1000</v>
      </c>
      <c r="O116" s="4" t="n">
        <f aca="false">(E116+E133+E150)/3</f>
        <v>5.06933333333333</v>
      </c>
      <c r="P116" s="3" t="n">
        <f aca="false">(N116/O116)</f>
        <v>197.264597580221</v>
      </c>
      <c r="Q116" s="4" t="n">
        <f aca="false">(G116+G133+G150)/3</f>
        <v>3.24866666666667</v>
      </c>
      <c r="R116" s="5" t="n">
        <f aca="false">(H116+H133+H150)/3</f>
        <v>0.162665333333333</v>
      </c>
      <c r="S116" s="5" t="n">
        <f aca="false">(I116+I133+I150)/3</f>
        <v>0.052008</v>
      </c>
    </row>
    <row r="117" customFormat="false" ht="12.8" hidden="false" customHeight="false" outlineLevel="0" collapsed="false">
      <c r="A117" s="0" t="s">
        <v>12</v>
      </c>
      <c r="B117" s="0" t="n">
        <v>1</v>
      </c>
      <c r="C117" s="0" t="n">
        <v>100</v>
      </c>
      <c r="D117" s="0" t="n">
        <v>1500</v>
      </c>
      <c r="E117" s="0" t="n">
        <v>7.327</v>
      </c>
      <c r="G117" s="0" t="n">
        <v>4.431</v>
      </c>
      <c r="H117" s="0" t="n">
        <v>0.243999</v>
      </c>
      <c r="I117" s="0" t="n">
        <v>0.077985</v>
      </c>
      <c r="K117" s="0" t="s">
        <v>12</v>
      </c>
      <c r="L117" s="0" t="n">
        <v>1</v>
      </c>
      <c r="M117" s="0" t="n">
        <v>100</v>
      </c>
      <c r="N117" s="0" t="n">
        <v>1500</v>
      </c>
      <c r="O117" s="4" t="n">
        <f aca="false">(E117+E134+E151)/3</f>
        <v>7.29566666666667</v>
      </c>
      <c r="P117" s="3" t="n">
        <f aca="false">(N117/O117)</f>
        <v>205.601498606479</v>
      </c>
      <c r="Q117" s="4" t="n">
        <f aca="false">(G117+G134+G151)/3</f>
        <v>4.44566666666667</v>
      </c>
      <c r="R117" s="5" t="n">
        <f aca="false">(H117+H134+H151)/3</f>
        <v>0.243998666666667</v>
      </c>
      <c r="S117" s="5" t="n">
        <f aca="false">(I117+I134+I151)/3</f>
        <v>0.0780093333333333</v>
      </c>
    </row>
    <row r="118" customFormat="false" ht="12.8" hidden="false" customHeight="false" outlineLevel="0" collapsed="false">
      <c r="A118" s="0" t="s">
        <v>12</v>
      </c>
      <c r="B118" s="0" t="n">
        <v>1</v>
      </c>
      <c r="C118" s="0" t="n">
        <v>100</v>
      </c>
      <c r="D118" s="0" t="n">
        <v>2000</v>
      </c>
      <c r="E118" s="0" t="n">
        <v>10.371</v>
      </c>
      <c r="G118" s="0" t="n">
        <v>6.238</v>
      </c>
      <c r="H118" s="0" t="n">
        <v>0.325331</v>
      </c>
      <c r="I118" s="0" t="n">
        <v>0.104047</v>
      </c>
      <c r="K118" s="0" t="s">
        <v>12</v>
      </c>
      <c r="L118" s="0" t="n">
        <v>1</v>
      </c>
      <c r="M118" s="0" t="n">
        <v>100</v>
      </c>
      <c r="N118" s="0" t="n">
        <v>2000</v>
      </c>
      <c r="O118" s="4" t="n">
        <f aca="false">(E118+E135+E152)/3</f>
        <v>10.746</v>
      </c>
      <c r="P118" s="3" t="n">
        <f aca="false">(N118/O118)</f>
        <v>186.115764005211</v>
      </c>
      <c r="Q118" s="4" t="n">
        <f aca="false">(G118+G135+G152)/3</f>
        <v>6.56166666666667</v>
      </c>
      <c r="R118" s="5" t="n">
        <f aca="false">(H118+H135+H152)/3</f>
        <v>0.325331333333333</v>
      </c>
      <c r="S118" s="5" t="n">
        <f aca="false">(I118+I135+I152)/3</f>
        <v>0.103996666666667</v>
      </c>
    </row>
    <row r="119" customFormat="false" ht="12.8" hidden="false" customHeight="false" outlineLevel="0" collapsed="false">
      <c r="A119" s="0" t="s">
        <v>12</v>
      </c>
      <c r="B119" s="0" t="n">
        <v>1</v>
      </c>
      <c r="C119" s="0" t="n">
        <v>100</v>
      </c>
      <c r="D119" s="0" t="n">
        <v>3000</v>
      </c>
      <c r="E119" s="0" t="n">
        <v>18.018</v>
      </c>
      <c r="G119" s="0" t="n">
        <v>11.311</v>
      </c>
      <c r="H119" s="0" t="n">
        <v>0.487997</v>
      </c>
      <c r="I119" s="0" t="n">
        <v>0.15595</v>
      </c>
      <c r="K119" s="0" t="s">
        <v>12</v>
      </c>
      <c r="L119" s="0" t="n">
        <v>1</v>
      </c>
      <c r="M119" s="0" t="n">
        <v>100</v>
      </c>
      <c r="N119" s="0" t="n">
        <v>3000</v>
      </c>
      <c r="O119" s="4" t="n">
        <f aca="false">(E119+E136+E153)/3</f>
        <v>18.1106666666667</v>
      </c>
      <c r="P119" s="3" t="n">
        <f aca="false">(N119/O119)</f>
        <v>165.648236766546</v>
      </c>
      <c r="Q119" s="4" t="n">
        <f aca="false">(G119+G136+G153)/3</f>
        <v>11.3566666666667</v>
      </c>
      <c r="R119" s="5" t="n">
        <f aca="false">(H119+H136+H153)/3</f>
        <v>0.487997333333333</v>
      </c>
      <c r="S119" s="5" t="n">
        <f aca="false">(I119+I136+I153)/3</f>
        <v>0.155961</v>
      </c>
    </row>
    <row r="120" customFormat="false" ht="12.8" hidden="false" customHeight="false" outlineLevel="0" collapsed="false">
      <c r="A120" s="0" t="s">
        <v>0</v>
      </c>
      <c r="B120" s="0" t="s">
        <v>1</v>
      </c>
      <c r="C120" s="0" t="s">
        <v>2</v>
      </c>
      <c r="D120" s="0" t="s">
        <v>3</v>
      </c>
      <c r="E120" s="0" t="s">
        <v>4</v>
      </c>
      <c r="G120" s="0" t="s">
        <v>6</v>
      </c>
      <c r="H120" s="0" t="s">
        <v>7</v>
      </c>
      <c r="I120" s="0" t="s">
        <v>8</v>
      </c>
    </row>
    <row r="121" customFormat="false" ht="12.8" hidden="false" customHeight="false" outlineLevel="0" collapsed="false">
      <c r="A121" s="0" t="s">
        <v>12</v>
      </c>
      <c r="B121" s="0" t="n">
        <v>1</v>
      </c>
      <c r="C121" s="0" t="n">
        <v>100</v>
      </c>
      <c r="D121" s="0" t="n">
        <v>10</v>
      </c>
      <c r="E121" s="0" t="n">
        <v>0.674</v>
      </c>
      <c r="G121" s="0" t="n">
        <v>0.617</v>
      </c>
      <c r="H121" s="0" t="n">
        <v>0.001661</v>
      </c>
      <c r="I121" s="0" t="n">
        <v>0.00054</v>
      </c>
    </row>
    <row r="122" customFormat="false" ht="12.8" hidden="false" customHeight="false" outlineLevel="0" collapsed="false">
      <c r="A122" s="0" t="s">
        <v>12</v>
      </c>
      <c r="B122" s="0" t="n">
        <v>1</v>
      </c>
      <c r="C122" s="0" t="n">
        <v>100</v>
      </c>
      <c r="D122" s="0" t="n">
        <v>15</v>
      </c>
      <c r="E122" s="0" t="n">
        <v>0.973</v>
      </c>
      <c r="G122" s="0" t="n">
        <v>0.814</v>
      </c>
      <c r="H122" s="0" t="n">
        <v>0.00244</v>
      </c>
      <c r="I122" s="0" t="n">
        <v>0.000781</v>
      </c>
    </row>
    <row r="123" customFormat="false" ht="12.8" hidden="false" customHeight="false" outlineLevel="0" collapsed="false">
      <c r="A123" s="0" t="s">
        <v>12</v>
      </c>
      <c r="B123" s="0" t="n">
        <v>1</v>
      </c>
      <c r="C123" s="0" t="n">
        <v>100</v>
      </c>
      <c r="D123" s="0" t="n">
        <v>20</v>
      </c>
      <c r="E123" s="0" t="n">
        <v>0.929</v>
      </c>
      <c r="G123" s="0" t="n">
        <v>0.769</v>
      </c>
      <c r="H123" s="0" t="n">
        <v>0.003253</v>
      </c>
      <c r="I123" s="0" t="n">
        <v>0.001042</v>
      </c>
    </row>
    <row r="124" customFormat="false" ht="12.8" hidden="false" customHeight="false" outlineLevel="0" collapsed="false">
      <c r="A124" s="0" t="s">
        <v>12</v>
      </c>
      <c r="B124" s="0" t="n">
        <v>1</v>
      </c>
      <c r="C124" s="0" t="n">
        <v>100</v>
      </c>
      <c r="D124" s="0" t="n">
        <v>25</v>
      </c>
      <c r="E124" s="0" t="n">
        <v>0.936</v>
      </c>
      <c r="G124" s="0" t="n">
        <v>0.777</v>
      </c>
      <c r="H124" s="0" t="n">
        <v>0.004067</v>
      </c>
      <c r="I124" s="0" t="n">
        <v>0.001301</v>
      </c>
    </row>
    <row r="125" customFormat="false" ht="12.8" hidden="false" customHeight="false" outlineLevel="0" collapsed="false">
      <c r="A125" s="0" t="s">
        <v>12</v>
      </c>
      <c r="B125" s="0" t="n">
        <v>1</v>
      </c>
      <c r="C125" s="0" t="n">
        <v>100</v>
      </c>
      <c r="D125" s="0" t="n">
        <v>50</v>
      </c>
      <c r="E125" s="0" t="n">
        <v>0.925</v>
      </c>
      <c r="G125" s="0" t="n">
        <v>0.72</v>
      </c>
      <c r="H125" s="0" t="n">
        <v>0.008133</v>
      </c>
      <c r="I125" s="0" t="n">
        <v>0.002607</v>
      </c>
    </row>
    <row r="126" customFormat="false" ht="12.8" hidden="false" customHeight="false" outlineLevel="0" collapsed="false">
      <c r="A126" s="0" t="s">
        <v>12</v>
      </c>
      <c r="B126" s="0" t="n">
        <v>1</v>
      </c>
      <c r="C126" s="0" t="n">
        <v>100</v>
      </c>
      <c r="D126" s="0" t="n">
        <v>75</v>
      </c>
      <c r="E126" s="0" t="n">
        <v>0.823</v>
      </c>
      <c r="G126" s="0" t="n">
        <v>0.604</v>
      </c>
      <c r="H126" s="0" t="n">
        <v>0.0122</v>
      </c>
      <c r="I126" s="0" t="n">
        <v>0.003905</v>
      </c>
    </row>
    <row r="127" customFormat="false" ht="12.8" hidden="false" customHeight="false" outlineLevel="0" collapsed="false">
      <c r="A127" s="0" t="s">
        <v>12</v>
      </c>
      <c r="B127" s="0" t="n">
        <v>1</v>
      </c>
      <c r="C127" s="0" t="n">
        <v>100</v>
      </c>
      <c r="D127" s="0" t="n">
        <v>100</v>
      </c>
      <c r="E127" s="0" t="n">
        <v>1.373</v>
      </c>
      <c r="G127" s="0" t="n">
        <v>1.023</v>
      </c>
      <c r="H127" s="0" t="n">
        <v>0.016267</v>
      </c>
      <c r="I127" s="0" t="n">
        <v>0.005206</v>
      </c>
    </row>
    <row r="128" customFormat="false" ht="12.8" hidden="false" customHeight="false" outlineLevel="0" collapsed="false">
      <c r="A128" s="0" t="s">
        <v>12</v>
      </c>
      <c r="B128" s="0" t="n">
        <v>1</v>
      </c>
      <c r="C128" s="0" t="n">
        <v>100</v>
      </c>
      <c r="D128" s="0" t="n">
        <v>150</v>
      </c>
      <c r="E128" s="0" t="n">
        <v>1.809</v>
      </c>
      <c r="G128" s="0" t="n">
        <v>1.359</v>
      </c>
      <c r="H128" s="0" t="n">
        <v>0.0244</v>
      </c>
      <c r="I128" s="0" t="n">
        <v>0.007807</v>
      </c>
    </row>
    <row r="129" customFormat="false" ht="12.8" hidden="false" customHeight="false" outlineLevel="0" collapsed="false">
      <c r="A129" s="0" t="s">
        <v>12</v>
      </c>
      <c r="B129" s="0" t="n">
        <v>1</v>
      </c>
      <c r="C129" s="0" t="n">
        <v>100</v>
      </c>
      <c r="D129" s="0" t="n">
        <v>200</v>
      </c>
      <c r="E129" s="0" t="n">
        <v>1.713</v>
      </c>
      <c r="G129" s="0" t="n">
        <v>1.219</v>
      </c>
      <c r="H129" s="0" t="n">
        <v>0.032533</v>
      </c>
      <c r="I129" s="0" t="n">
        <v>0.010392</v>
      </c>
    </row>
    <row r="130" customFormat="false" ht="12.8" hidden="false" customHeight="false" outlineLevel="0" collapsed="false">
      <c r="A130" s="0" t="s">
        <v>12</v>
      </c>
      <c r="B130" s="0" t="n">
        <v>1</v>
      </c>
      <c r="C130" s="0" t="n">
        <v>100</v>
      </c>
      <c r="D130" s="0" t="n">
        <v>250</v>
      </c>
      <c r="E130" s="0" t="n">
        <v>2.352</v>
      </c>
      <c r="G130" s="0" t="n">
        <v>1.798</v>
      </c>
      <c r="H130" s="0" t="n">
        <v>0.040666</v>
      </c>
      <c r="I130" s="0" t="n">
        <v>0.013002</v>
      </c>
    </row>
    <row r="131" customFormat="false" ht="12.8" hidden="false" customHeight="false" outlineLevel="0" collapsed="false">
      <c r="A131" s="0" t="s">
        <v>12</v>
      </c>
      <c r="B131" s="0" t="n">
        <v>1</v>
      </c>
      <c r="C131" s="0" t="n">
        <v>100</v>
      </c>
      <c r="D131" s="0" t="n">
        <v>500</v>
      </c>
      <c r="E131" s="0" t="n">
        <v>3.003</v>
      </c>
      <c r="G131" s="0" t="n">
        <v>1.907</v>
      </c>
      <c r="H131" s="0" t="n">
        <v>0.081333</v>
      </c>
      <c r="I131" s="0" t="n">
        <v>0.026015</v>
      </c>
    </row>
    <row r="132" customFormat="false" ht="12.8" hidden="false" customHeight="false" outlineLevel="0" collapsed="false">
      <c r="A132" s="0" t="s">
        <v>12</v>
      </c>
      <c r="B132" s="0" t="n">
        <v>1</v>
      </c>
      <c r="C132" s="0" t="n">
        <v>100</v>
      </c>
      <c r="D132" s="0" t="n">
        <v>750</v>
      </c>
      <c r="E132" s="0" t="n">
        <v>4.124</v>
      </c>
      <c r="G132" s="0" t="n">
        <v>2.511</v>
      </c>
      <c r="H132" s="0" t="n">
        <v>0.121999</v>
      </c>
      <c r="I132" s="0" t="n">
        <v>0.039008</v>
      </c>
    </row>
    <row r="133" customFormat="false" ht="12.8" hidden="false" customHeight="false" outlineLevel="0" collapsed="false">
      <c r="A133" s="0" t="s">
        <v>12</v>
      </c>
      <c r="B133" s="0" t="n">
        <v>1</v>
      </c>
      <c r="C133" s="0" t="n">
        <v>100</v>
      </c>
      <c r="D133" s="0" t="n">
        <v>1000</v>
      </c>
      <c r="E133" s="0" t="n">
        <v>5.401</v>
      </c>
      <c r="G133" s="0" t="n">
        <v>3.523</v>
      </c>
      <c r="H133" s="0" t="n">
        <v>0.162665</v>
      </c>
      <c r="I133" s="0" t="n">
        <v>0.052007</v>
      </c>
    </row>
    <row r="134" customFormat="false" ht="12.8" hidden="false" customHeight="false" outlineLevel="0" collapsed="false">
      <c r="A134" s="0" t="s">
        <v>12</v>
      </c>
      <c r="B134" s="0" t="n">
        <v>1</v>
      </c>
      <c r="C134" s="0" t="n">
        <v>100</v>
      </c>
      <c r="D134" s="0" t="n">
        <v>1500</v>
      </c>
      <c r="E134" s="0" t="n">
        <v>7.333</v>
      </c>
      <c r="G134" s="0" t="n">
        <v>4.404</v>
      </c>
      <c r="H134" s="0" t="n">
        <v>0.243999</v>
      </c>
      <c r="I134" s="0" t="n">
        <v>0.078016</v>
      </c>
    </row>
    <row r="135" customFormat="false" ht="12.8" hidden="false" customHeight="false" outlineLevel="0" collapsed="false">
      <c r="A135" s="0" t="s">
        <v>12</v>
      </c>
      <c r="B135" s="0" t="n">
        <v>1</v>
      </c>
      <c r="C135" s="0" t="n">
        <v>100</v>
      </c>
      <c r="D135" s="0" t="n">
        <v>2000</v>
      </c>
      <c r="E135" s="0" t="n">
        <v>10.621</v>
      </c>
      <c r="G135" s="0" t="n">
        <v>6.295</v>
      </c>
      <c r="H135" s="0" t="n">
        <v>0.325331</v>
      </c>
      <c r="I135" s="0" t="n">
        <v>0.103977</v>
      </c>
    </row>
    <row r="136" customFormat="false" ht="12.8" hidden="false" customHeight="false" outlineLevel="0" collapsed="false">
      <c r="A136" s="0" t="s">
        <v>12</v>
      </c>
      <c r="B136" s="0" t="n">
        <v>1</v>
      </c>
      <c r="C136" s="0" t="n">
        <v>100</v>
      </c>
      <c r="D136" s="0" t="n">
        <v>3000</v>
      </c>
      <c r="E136" s="0" t="n">
        <v>18.39</v>
      </c>
      <c r="G136" s="0" t="n">
        <v>11.53</v>
      </c>
      <c r="H136" s="0" t="n">
        <v>0.487998</v>
      </c>
      <c r="I136" s="0" t="n">
        <v>0.155947</v>
      </c>
    </row>
    <row r="137" customFormat="false" ht="12.8" hidden="false" customHeight="false" outlineLevel="0" collapsed="false">
      <c r="A137" s="0" t="s">
        <v>0</v>
      </c>
      <c r="B137" s="0" t="s">
        <v>1</v>
      </c>
      <c r="C137" s="0" t="s">
        <v>2</v>
      </c>
      <c r="D137" s="0" t="s">
        <v>3</v>
      </c>
      <c r="E137" s="0" t="s">
        <v>4</v>
      </c>
      <c r="G137" s="0" t="s">
        <v>6</v>
      </c>
      <c r="H137" s="0" t="s">
        <v>7</v>
      </c>
      <c r="I137" s="0" t="s">
        <v>8</v>
      </c>
    </row>
    <row r="138" customFormat="false" ht="12.8" hidden="false" customHeight="false" outlineLevel="0" collapsed="false">
      <c r="A138" s="0" t="s">
        <v>12</v>
      </c>
      <c r="B138" s="0" t="n">
        <v>1</v>
      </c>
      <c r="C138" s="0" t="n">
        <v>100</v>
      </c>
      <c r="D138" s="0" t="n">
        <v>10</v>
      </c>
      <c r="E138" s="0" t="n">
        <v>0.455</v>
      </c>
      <c r="G138" s="0" t="n">
        <v>0.388</v>
      </c>
      <c r="H138" s="0" t="n">
        <v>0.001661</v>
      </c>
      <c r="I138" s="0" t="n">
        <v>0.00054</v>
      </c>
    </row>
    <row r="139" customFormat="false" ht="12.8" hidden="false" customHeight="false" outlineLevel="0" collapsed="false">
      <c r="A139" s="0" t="s">
        <v>12</v>
      </c>
      <c r="B139" s="0" t="n">
        <v>1</v>
      </c>
      <c r="C139" s="0" t="n">
        <v>100</v>
      </c>
      <c r="D139" s="0" t="n">
        <v>15</v>
      </c>
      <c r="E139" s="0" t="n">
        <v>0.864</v>
      </c>
      <c r="G139" s="0" t="n">
        <v>0.683</v>
      </c>
      <c r="H139" s="0" t="n">
        <v>0.00244</v>
      </c>
      <c r="I139" s="0" t="n">
        <v>0.000784</v>
      </c>
    </row>
    <row r="140" customFormat="false" ht="12.8" hidden="false" customHeight="false" outlineLevel="0" collapsed="false">
      <c r="A140" s="0" t="s">
        <v>12</v>
      </c>
      <c r="B140" s="0" t="n">
        <v>1</v>
      </c>
      <c r="C140" s="0" t="n">
        <v>100</v>
      </c>
      <c r="D140" s="0" t="n">
        <v>20</v>
      </c>
      <c r="E140" s="0" t="n">
        <v>0.848</v>
      </c>
      <c r="G140" s="0" t="n">
        <v>0.665</v>
      </c>
      <c r="H140" s="0" t="n">
        <v>0.003253</v>
      </c>
      <c r="I140" s="0" t="n">
        <v>0.001039</v>
      </c>
    </row>
    <row r="141" customFormat="false" ht="12.8" hidden="false" customHeight="false" outlineLevel="0" collapsed="false">
      <c r="A141" s="0" t="s">
        <v>12</v>
      </c>
      <c r="B141" s="0" t="n">
        <v>1</v>
      </c>
      <c r="C141" s="0" t="n">
        <v>100</v>
      </c>
      <c r="D141" s="0" t="n">
        <v>25</v>
      </c>
      <c r="E141" s="0" t="n">
        <v>0.794</v>
      </c>
      <c r="G141" s="0" t="n">
        <v>0.617</v>
      </c>
      <c r="H141" s="0" t="n">
        <v>0.004067</v>
      </c>
      <c r="I141" s="0" t="n">
        <v>0.001298</v>
      </c>
    </row>
    <row r="142" customFormat="false" ht="12.8" hidden="false" customHeight="false" outlineLevel="0" collapsed="false">
      <c r="A142" s="0" t="s">
        <v>12</v>
      </c>
      <c r="B142" s="0" t="n">
        <v>1</v>
      </c>
      <c r="C142" s="0" t="n">
        <v>100</v>
      </c>
      <c r="D142" s="0" t="n">
        <v>50</v>
      </c>
      <c r="E142" s="0" t="n">
        <v>0.9</v>
      </c>
      <c r="G142" s="0" t="n">
        <v>0.688</v>
      </c>
      <c r="H142" s="0" t="n">
        <v>0.008133</v>
      </c>
      <c r="I142" s="0" t="n">
        <v>0.002601</v>
      </c>
    </row>
    <row r="143" customFormat="false" ht="12.8" hidden="false" customHeight="false" outlineLevel="0" collapsed="false">
      <c r="A143" s="0" t="s">
        <v>12</v>
      </c>
      <c r="B143" s="0" t="n">
        <v>1</v>
      </c>
      <c r="C143" s="0" t="n">
        <v>100</v>
      </c>
      <c r="D143" s="0" t="n">
        <v>75</v>
      </c>
      <c r="E143" s="0" t="n">
        <v>0.897</v>
      </c>
      <c r="G143" s="0" t="n">
        <v>0.696</v>
      </c>
      <c r="H143" s="0" t="n">
        <v>0.0122</v>
      </c>
      <c r="I143" s="0" t="n">
        <v>0.003888</v>
      </c>
    </row>
    <row r="144" customFormat="false" ht="12.8" hidden="false" customHeight="false" outlineLevel="0" collapsed="false">
      <c r="A144" s="0" t="s">
        <v>12</v>
      </c>
      <c r="B144" s="0" t="n">
        <v>1</v>
      </c>
      <c r="C144" s="0" t="n">
        <v>100</v>
      </c>
      <c r="D144" s="0" t="n">
        <v>100</v>
      </c>
      <c r="E144" s="0" t="n">
        <v>1.598</v>
      </c>
      <c r="G144" s="0" t="n">
        <v>1.196</v>
      </c>
      <c r="H144" s="0" t="n">
        <v>0.016267</v>
      </c>
      <c r="I144" s="0" t="n">
        <v>0.005211</v>
      </c>
    </row>
    <row r="145" customFormat="false" ht="12.8" hidden="false" customHeight="false" outlineLevel="0" collapsed="false">
      <c r="A145" s="0" t="s">
        <v>12</v>
      </c>
      <c r="B145" s="0" t="n">
        <v>1</v>
      </c>
      <c r="C145" s="0" t="n">
        <v>100</v>
      </c>
      <c r="D145" s="0" t="n">
        <v>150</v>
      </c>
      <c r="E145" s="0" t="n">
        <v>1.52</v>
      </c>
      <c r="G145" s="0" t="n">
        <v>1.056</v>
      </c>
      <c r="H145" s="0" t="n">
        <v>0.0244</v>
      </c>
      <c r="I145" s="0" t="n">
        <v>0.00781</v>
      </c>
    </row>
    <row r="146" customFormat="false" ht="12.8" hidden="false" customHeight="false" outlineLevel="0" collapsed="false">
      <c r="A146" s="0" t="s">
        <v>12</v>
      </c>
      <c r="B146" s="0" t="n">
        <v>1</v>
      </c>
      <c r="C146" s="0" t="n">
        <v>100</v>
      </c>
      <c r="D146" s="0" t="n">
        <v>200</v>
      </c>
      <c r="E146" s="0" t="n">
        <v>1.765</v>
      </c>
      <c r="G146" s="0" t="n">
        <v>1.324</v>
      </c>
      <c r="H146" s="0" t="n">
        <v>0.032533</v>
      </c>
      <c r="I146" s="0" t="n">
        <v>0.010406</v>
      </c>
    </row>
    <row r="147" customFormat="false" ht="12.8" hidden="false" customHeight="false" outlineLevel="0" collapsed="false">
      <c r="A147" s="0" t="s">
        <v>12</v>
      </c>
      <c r="B147" s="0" t="n">
        <v>1</v>
      </c>
      <c r="C147" s="0" t="n">
        <v>100</v>
      </c>
      <c r="D147" s="0" t="n">
        <v>250</v>
      </c>
      <c r="E147" s="0" t="n">
        <v>1.495</v>
      </c>
      <c r="G147" s="0" t="n">
        <v>1.038</v>
      </c>
      <c r="H147" s="0" t="n">
        <v>0.040666</v>
      </c>
      <c r="I147" s="0" t="n">
        <v>0.013016</v>
      </c>
    </row>
    <row r="148" customFormat="false" ht="12.8" hidden="false" customHeight="false" outlineLevel="0" collapsed="false">
      <c r="A148" s="0" t="s">
        <v>12</v>
      </c>
      <c r="B148" s="0" t="n">
        <v>1</v>
      </c>
      <c r="C148" s="0" t="n">
        <v>100</v>
      </c>
      <c r="D148" s="0" t="n">
        <v>500</v>
      </c>
      <c r="E148" s="0" t="n">
        <v>3.014</v>
      </c>
      <c r="G148" s="0" t="n">
        <v>2.002</v>
      </c>
      <c r="H148" s="0" t="n">
        <v>0.081333</v>
      </c>
      <c r="I148" s="0" t="n">
        <v>0.025981</v>
      </c>
    </row>
    <row r="149" customFormat="false" ht="12.8" hidden="false" customHeight="false" outlineLevel="0" collapsed="false">
      <c r="A149" s="0" t="s">
        <v>12</v>
      </c>
      <c r="B149" s="0" t="n">
        <v>1</v>
      </c>
      <c r="C149" s="0" t="n">
        <v>100</v>
      </c>
      <c r="D149" s="0" t="n">
        <v>750</v>
      </c>
      <c r="E149" s="0" t="n">
        <v>4.765</v>
      </c>
      <c r="G149" s="0" t="n">
        <v>3.015</v>
      </c>
      <c r="H149" s="0" t="n">
        <v>0.122</v>
      </c>
      <c r="I149" s="0" t="n">
        <v>0.038971</v>
      </c>
    </row>
    <row r="150" customFormat="false" ht="12.8" hidden="false" customHeight="false" outlineLevel="0" collapsed="false">
      <c r="A150" s="0" t="s">
        <v>12</v>
      </c>
      <c r="B150" s="0" t="n">
        <v>1</v>
      </c>
      <c r="C150" s="0" t="n">
        <v>100</v>
      </c>
      <c r="D150" s="0" t="n">
        <v>1000</v>
      </c>
      <c r="E150" s="0" t="n">
        <v>5.143</v>
      </c>
      <c r="G150" s="0" t="n">
        <v>3.302</v>
      </c>
      <c r="H150" s="0" t="n">
        <v>0.162665</v>
      </c>
      <c r="I150" s="0" t="n">
        <v>0.051982</v>
      </c>
    </row>
    <row r="151" customFormat="false" ht="12.8" hidden="false" customHeight="false" outlineLevel="0" collapsed="false">
      <c r="A151" s="0" t="s">
        <v>12</v>
      </c>
      <c r="B151" s="0" t="n">
        <v>1</v>
      </c>
      <c r="C151" s="0" t="n">
        <v>100</v>
      </c>
      <c r="D151" s="0" t="n">
        <v>1500</v>
      </c>
      <c r="E151" s="0" t="n">
        <v>7.227</v>
      </c>
      <c r="G151" s="0" t="n">
        <v>4.502</v>
      </c>
      <c r="H151" s="0" t="n">
        <v>0.243998</v>
      </c>
      <c r="I151" s="0" t="n">
        <v>0.078027</v>
      </c>
    </row>
    <row r="152" customFormat="false" ht="12.8" hidden="false" customHeight="false" outlineLevel="0" collapsed="false">
      <c r="A152" s="0" t="s">
        <v>12</v>
      </c>
      <c r="B152" s="0" t="n">
        <v>1</v>
      </c>
      <c r="C152" s="0" t="n">
        <v>100</v>
      </c>
      <c r="D152" s="0" t="n">
        <v>2000</v>
      </c>
      <c r="E152" s="0" t="n">
        <v>11.246</v>
      </c>
      <c r="G152" s="0" t="n">
        <v>7.152</v>
      </c>
      <c r="H152" s="0" t="n">
        <v>0.325332</v>
      </c>
      <c r="I152" s="0" t="n">
        <v>0.103966</v>
      </c>
    </row>
    <row r="153" customFormat="false" ht="12.8" hidden="false" customHeight="false" outlineLevel="0" collapsed="false">
      <c r="A153" s="0" t="s">
        <v>12</v>
      </c>
      <c r="B153" s="0" t="n">
        <v>1</v>
      </c>
      <c r="C153" s="0" t="n">
        <v>100</v>
      </c>
      <c r="D153" s="0" t="n">
        <v>3000</v>
      </c>
      <c r="E153" s="0" t="n">
        <v>17.924</v>
      </c>
      <c r="G153" s="0" t="n">
        <v>11.229</v>
      </c>
      <c r="H153" s="0" t="n">
        <v>0.487997</v>
      </c>
      <c r="I153" s="0" t="n">
        <v>0.155986</v>
      </c>
    </row>
    <row r="154" customFormat="false" ht="12.8" hidden="false" customHeight="false" outlineLevel="0" collapsed="false">
      <c r="A154" s="0" t="s">
        <v>0</v>
      </c>
      <c r="B154" s="0" t="s">
        <v>1</v>
      </c>
      <c r="C154" s="0" t="s">
        <v>2</v>
      </c>
      <c r="D154" s="0" t="s">
        <v>3</v>
      </c>
      <c r="E154" s="0" t="s">
        <v>4</v>
      </c>
      <c r="G154" s="0" t="s">
        <v>6</v>
      </c>
      <c r="H154" s="0" t="s">
        <v>7</v>
      </c>
      <c r="I154" s="0" t="s">
        <v>8</v>
      </c>
      <c r="K154" s="0" t="s">
        <v>0</v>
      </c>
      <c r="L154" s="0" t="s">
        <v>1</v>
      </c>
      <c r="M154" s="0" t="s">
        <v>2</v>
      </c>
      <c r="N154" s="0" t="s">
        <v>3</v>
      </c>
      <c r="O154" s="0" t="s">
        <v>4</v>
      </c>
      <c r="P154" s="0" t="s">
        <v>5</v>
      </c>
      <c r="Q154" s="0" t="s">
        <v>6</v>
      </c>
      <c r="R154" s="0" t="s">
        <v>7</v>
      </c>
      <c r="S154" s="0" t="s">
        <v>8</v>
      </c>
    </row>
    <row r="155" customFormat="false" ht="12.8" hidden="false" customHeight="false" outlineLevel="0" collapsed="false">
      <c r="A155" s="0" t="s">
        <v>10</v>
      </c>
      <c r="B155" s="0" t="n">
        <v>5</v>
      </c>
      <c r="C155" s="0" t="n">
        <v>100</v>
      </c>
      <c r="D155" s="0" t="n">
        <v>10</v>
      </c>
      <c r="E155" s="0" t="n">
        <v>0.868</v>
      </c>
      <c r="G155" s="0" t="n">
        <v>0.638</v>
      </c>
      <c r="H155" s="0" t="n">
        <v>0.001661</v>
      </c>
      <c r="I155" s="0" t="n">
        <v>0.00054</v>
      </c>
      <c r="K155" s="0" t="s">
        <v>10</v>
      </c>
      <c r="L155" s="0" t="n">
        <v>5</v>
      </c>
      <c r="M155" s="0" t="n">
        <v>100</v>
      </c>
      <c r="N155" s="0" t="n">
        <v>10</v>
      </c>
      <c r="O155" s="4" t="n">
        <f aca="false">(E155+E172+E189)/3</f>
        <v>0.965666666666667</v>
      </c>
      <c r="P155" s="3" t="n">
        <f aca="false">(N155/O155)</f>
        <v>10.3555402140145</v>
      </c>
      <c r="Q155" s="4" t="n">
        <f aca="false">(G155+G172+G189)/3</f>
        <v>0.800333333333334</v>
      </c>
      <c r="R155" s="5" t="n">
        <f aca="false">(H155+H172+H189)/3</f>
        <v>0.001661</v>
      </c>
      <c r="S155" s="5" t="n">
        <f aca="false">(I155+I172+I189)/3</f>
        <v>0.000539</v>
      </c>
    </row>
    <row r="156" customFormat="false" ht="12.8" hidden="false" customHeight="false" outlineLevel="0" collapsed="false">
      <c r="A156" s="0" t="s">
        <v>10</v>
      </c>
      <c r="B156" s="0" t="n">
        <v>5</v>
      </c>
      <c r="C156" s="0" t="n">
        <v>100</v>
      </c>
      <c r="D156" s="0" t="n">
        <v>15</v>
      </c>
      <c r="E156" s="0" t="n">
        <v>0.802</v>
      </c>
      <c r="G156" s="0" t="n">
        <v>0.619</v>
      </c>
      <c r="H156" s="0" t="n">
        <v>0.00244</v>
      </c>
      <c r="I156" s="0" t="n">
        <v>0.000781</v>
      </c>
      <c r="K156" s="0" t="s">
        <v>10</v>
      </c>
      <c r="L156" s="0" t="n">
        <v>5</v>
      </c>
      <c r="M156" s="0" t="n">
        <v>100</v>
      </c>
      <c r="N156" s="0" t="n">
        <v>15</v>
      </c>
      <c r="O156" s="4" t="n">
        <f aca="false">(E156+E173+E190)/3</f>
        <v>0.882666666666667</v>
      </c>
      <c r="P156" s="3" t="n">
        <f aca="false">(N156/O156)</f>
        <v>16.9939577039275</v>
      </c>
      <c r="Q156" s="4" t="n">
        <f aca="false">(G156+G173+G190)/3</f>
        <v>0.697333333333333</v>
      </c>
      <c r="R156" s="5" t="n">
        <f aca="false">(H156+H173+H190)/3</f>
        <v>0.00244</v>
      </c>
      <c r="S156" s="5" t="n">
        <f aca="false">(I156+I173+I190)/3</f>
        <v>0.00078</v>
      </c>
    </row>
    <row r="157" customFormat="false" ht="12.8" hidden="false" customHeight="false" outlineLevel="0" collapsed="false">
      <c r="A157" s="0" t="s">
        <v>10</v>
      </c>
      <c r="B157" s="0" t="n">
        <v>5</v>
      </c>
      <c r="C157" s="0" t="n">
        <v>100</v>
      </c>
      <c r="D157" s="0" t="n">
        <v>20</v>
      </c>
      <c r="E157" s="0" t="n">
        <v>0.964</v>
      </c>
      <c r="G157" s="0" t="n">
        <v>0.793</v>
      </c>
      <c r="H157" s="0" t="n">
        <v>0.003253</v>
      </c>
      <c r="I157" s="0" t="n">
        <v>0.001042</v>
      </c>
      <c r="K157" s="0" t="s">
        <v>10</v>
      </c>
      <c r="L157" s="0" t="n">
        <v>5</v>
      </c>
      <c r="M157" s="0" t="n">
        <v>100</v>
      </c>
      <c r="N157" s="0" t="n">
        <v>20</v>
      </c>
      <c r="O157" s="4" t="n">
        <f aca="false">(E157+E174+E191)/3</f>
        <v>0.981666666666667</v>
      </c>
      <c r="P157" s="3" t="n">
        <f aca="false">(N157/O157)</f>
        <v>20.3735144312394</v>
      </c>
      <c r="Q157" s="4" t="n">
        <f aca="false">(G157+G174+G191)/3</f>
        <v>0.796</v>
      </c>
      <c r="R157" s="5" t="n">
        <f aca="false">(H157+H174+H191)/3</f>
        <v>0.003253</v>
      </c>
      <c r="S157" s="5" t="n">
        <f aca="false">(I157+I174+I191)/3</f>
        <v>0.001041</v>
      </c>
    </row>
    <row r="158" customFormat="false" ht="12.8" hidden="false" customHeight="false" outlineLevel="0" collapsed="false">
      <c r="A158" s="0" t="s">
        <v>10</v>
      </c>
      <c r="B158" s="0" t="n">
        <v>5</v>
      </c>
      <c r="C158" s="0" t="n">
        <v>100</v>
      </c>
      <c r="D158" s="0" t="n">
        <v>25</v>
      </c>
      <c r="E158" s="0" t="n">
        <v>0.944</v>
      </c>
      <c r="G158" s="0" t="n">
        <v>0.735</v>
      </c>
      <c r="H158" s="0" t="n">
        <v>0.004067</v>
      </c>
      <c r="I158" s="0" t="n">
        <v>0.001301</v>
      </c>
      <c r="K158" s="0" t="s">
        <v>10</v>
      </c>
      <c r="L158" s="0" t="n">
        <v>5</v>
      </c>
      <c r="M158" s="0" t="n">
        <v>100</v>
      </c>
      <c r="N158" s="0" t="n">
        <v>25</v>
      </c>
      <c r="O158" s="4" t="n">
        <f aca="false">(E158+E175+E192)/3</f>
        <v>0.950333333333333</v>
      </c>
      <c r="P158" s="3" t="n">
        <f aca="false">(N158/O158)</f>
        <v>26.3065591020695</v>
      </c>
      <c r="Q158" s="4" t="n">
        <f aca="false">(G158+G175+G192)/3</f>
        <v>0.768666666666667</v>
      </c>
      <c r="R158" s="5" t="n">
        <f aca="false">(H158+H175+H192)/3</f>
        <v>0.004067</v>
      </c>
      <c r="S158" s="5" t="n">
        <f aca="false">(I158+I175+I192)/3</f>
        <v>0.0013</v>
      </c>
    </row>
    <row r="159" customFormat="false" ht="12.8" hidden="false" customHeight="false" outlineLevel="0" collapsed="false">
      <c r="A159" s="0" t="s">
        <v>10</v>
      </c>
      <c r="B159" s="0" t="n">
        <v>5</v>
      </c>
      <c r="C159" s="0" t="n">
        <v>100</v>
      </c>
      <c r="D159" s="0" t="n">
        <v>50</v>
      </c>
      <c r="E159" s="0" t="n">
        <v>0.923</v>
      </c>
      <c r="G159" s="0" t="n">
        <v>0.728</v>
      </c>
      <c r="H159" s="0" t="n">
        <v>0.008133</v>
      </c>
      <c r="I159" s="0" t="n">
        <v>0.002604</v>
      </c>
      <c r="K159" s="0" t="s">
        <v>10</v>
      </c>
      <c r="L159" s="0" t="n">
        <v>5</v>
      </c>
      <c r="M159" s="0" t="n">
        <v>100</v>
      </c>
      <c r="N159" s="0" t="n">
        <v>50</v>
      </c>
      <c r="O159" s="4" t="n">
        <f aca="false">(E159+E176+E193)/3</f>
        <v>1.008</v>
      </c>
      <c r="P159" s="3" t="n">
        <f aca="false">(N159/O159)</f>
        <v>49.6031746031746</v>
      </c>
      <c r="Q159" s="4" t="n">
        <f aca="false">(G159+G176+G193)/3</f>
        <v>0.812</v>
      </c>
      <c r="R159" s="5" t="n">
        <f aca="false">(H159+H176+H193)/3</f>
        <v>0.008133</v>
      </c>
      <c r="S159" s="5" t="n">
        <f aca="false">(I159+I176+I193)/3</f>
        <v>0.00260233333333333</v>
      </c>
    </row>
    <row r="160" customFormat="false" ht="12.8" hidden="false" customHeight="false" outlineLevel="0" collapsed="false">
      <c r="A160" s="0" t="s">
        <v>10</v>
      </c>
      <c r="B160" s="0" t="n">
        <v>5</v>
      </c>
      <c r="C160" s="0" t="n">
        <v>100</v>
      </c>
      <c r="D160" s="0" t="n">
        <v>75</v>
      </c>
      <c r="E160" s="0" t="n">
        <v>1.482</v>
      </c>
      <c r="G160" s="0" t="n">
        <v>1.261</v>
      </c>
      <c r="H160" s="0" t="n">
        <v>0.0122</v>
      </c>
      <c r="I160" s="0" t="n">
        <v>0.003891</v>
      </c>
      <c r="K160" s="0" t="s">
        <v>10</v>
      </c>
      <c r="L160" s="0" t="n">
        <v>5</v>
      </c>
      <c r="M160" s="0" t="n">
        <v>100</v>
      </c>
      <c r="N160" s="0" t="n">
        <v>75</v>
      </c>
      <c r="O160" s="4" t="n">
        <f aca="false">(E160+E177+E194)/3</f>
        <v>1.09866666666667</v>
      </c>
      <c r="P160" s="3" t="n">
        <f aca="false">(N160/O160)</f>
        <v>68.2645631067961</v>
      </c>
      <c r="Q160" s="4" t="n">
        <f aca="false">(G160+G177+G194)/3</f>
        <v>0.884666666666667</v>
      </c>
      <c r="R160" s="5" t="n">
        <f aca="false">(H160+H177+H194)/3</f>
        <v>0.0122</v>
      </c>
      <c r="S160" s="5" t="n">
        <f aca="false">(I160+I177+I194)/3</f>
        <v>0.00389466666666667</v>
      </c>
    </row>
    <row r="161" customFormat="false" ht="12.8" hidden="false" customHeight="false" outlineLevel="0" collapsed="false">
      <c r="A161" s="0" t="s">
        <v>10</v>
      </c>
      <c r="B161" s="0" t="n">
        <v>5</v>
      </c>
      <c r="C161" s="0" t="n">
        <v>100</v>
      </c>
      <c r="D161" s="0" t="n">
        <v>100</v>
      </c>
      <c r="E161" s="0" t="n">
        <v>1.049</v>
      </c>
      <c r="G161" s="0" t="n">
        <v>0.832</v>
      </c>
      <c r="H161" s="0" t="n">
        <v>0.016267</v>
      </c>
      <c r="I161" s="0" t="n">
        <v>0.0052</v>
      </c>
      <c r="K161" s="0" t="s">
        <v>10</v>
      </c>
      <c r="L161" s="0" t="n">
        <v>5</v>
      </c>
      <c r="M161" s="0" t="n">
        <v>100</v>
      </c>
      <c r="N161" s="0" t="n">
        <v>100</v>
      </c>
      <c r="O161" s="4" t="n">
        <f aca="false">(E161+E178+E195)/3</f>
        <v>1.157</v>
      </c>
      <c r="P161" s="3" t="n">
        <f aca="false">(N161/O161)</f>
        <v>86.4304235090752</v>
      </c>
      <c r="Q161" s="4" t="n">
        <f aca="false">(G161+G178+G195)/3</f>
        <v>0.927333333333333</v>
      </c>
      <c r="R161" s="5" t="n">
        <f aca="false">(H161+H178+H195)/3</f>
        <v>0.0162663333333333</v>
      </c>
      <c r="S161" s="5" t="n">
        <f aca="false">(I161+I178+I195)/3</f>
        <v>0.00520466666666667</v>
      </c>
    </row>
    <row r="162" customFormat="false" ht="12.8" hidden="false" customHeight="false" outlineLevel="0" collapsed="false">
      <c r="A162" s="0" t="s">
        <v>10</v>
      </c>
      <c r="B162" s="0" t="n">
        <v>5</v>
      </c>
      <c r="C162" s="0" t="n">
        <v>100</v>
      </c>
      <c r="D162" s="0" t="n">
        <v>150</v>
      </c>
      <c r="E162" s="0" t="n">
        <v>2.303</v>
      </c>
      <c r="G162" s="0" t="n">
        <v>1.798</v>
      </c>
      <c r="H162" s="0" t="n">
        <v>0.0244</v>
      </c>
      <c r="I162" s="0" t="n">
        <v>0.00781</v>
      </c>
      <c r="K162" s="0" t="s">
        <v>10</v>
      </c>
      <c r="L162" s="0" t="n">
        <v>5</v>
      </c>
      <c r="M162" s="0" t="n">
        <v>100</v>
      </c>
      <c r="N162" s="0" t="n">
        <v>150</v>
      </c>
      <c r="O162" s="4" t="n">
        <f aca="false">(E162+E179+E196)/3</f>
        <v>2.24633333333333</v>
      </c>
      <c r="P162" s="3" t="n">
        <f aca="false">(N162/O162)</f>
        <v>66.775485977148</v>
      </c>
      <c r="Q162" s="4" t="n">
        <f aca="false">(G162+G179+G196)/3</f>
        <v>1.77833333333333</v>
      </c>
      <c r="R162" s="5" t="n">
        <f aca="false">(H162+H179+H196)/3</f>
        <v>0.0244</v>
      </c>
      <c r="S162" s="5" t="n">
        <f aca="false">(I162+I179+I196)/3</f>
        <v>0.00780533333333333</v>
      </c>
    </row>
    <row r="163" customFormat="false" ht="12.8" hidden="false" customHeight="false" outlineLevel="0" collapsed="false">
      <c r="A163" s="0" t="s">
        <v>10</v>
      </c>
      <c r="B163" s="0" t="n">
        <v>5</v>
      </c>
      <c r="C163" s="0" t="n">
        <v>100</v>
      </c>
      <c r="D163" s="0" t="n">
        <v>200</v>
      </c>
      <c r="E163" s="0" t="n">
        <v>2.598</v>
      </c>
      <c r="G163" s="0" t="n">
        <v>2.082</v>
      </c>
      <c r="H163" s="0" t="n">
        <v>0.032533</v>
      </c>
      <c r="I163" s="0" t="n">
        <v>0.010397</v>
      </c>
      <c r="K163" s="0" t="s">
        <v>10</v>
      </c>
      <c r="L163" s="0" t="n">
        <v>5</v>
      </c>
      <c r="M163" s="0" t="n">
        <v>100</v>
      </c>
      <c r="N163" s="0" t="n">
        <v>200</v>
      </c>
      <c r="O163" s="4" t="n">
        <f aca="false">(E163+E180+E197)/3</f>
        <v>2.55566666666667</v>
      </c>
      <c r="P163" s="3" t="n">
        <f aca="false">(N163/O163)</f>
        <v>78.2574670666493</v>
      </c>
      <c r="Q163" s="4" t="n">
        <f aca="false">(G163+G180+G197)/3</f>
        <v>2.03266666666667</v>
      </c>
      <c r="R163" s="5" t="n">
        <f aca="false">(H163+H180+H197)/3</f>
        <v>0.032533</v>
      </c>
      <c r="S163" s="5" t="n">
        <f aca="false">(I163+I180+I197)/3</f>
        <v>0.0103963333333333</v>
      </c>
    </row>
    <row r="164" customFormat="false" ht="12.8" hidden="false" customHeight="false" outlineLevel="0" collapsed="false">
      <c r="A164" s="0" t="s">
        <v>10</v>
      </c>
      <c r="B164" s="0" t="n">
        <v>5</v>
      </c>
      <c r="C164" s="0" t="n">
        <v>100</v>
      </c>
      <c r="D164" s="0" t="n">
        <v>250</v>
      </c>
      <c r="E164" s="0" t="n">
        <v>2.81</v>
      </c>
      <c r="G164" s="0" t="n">
        <v>2.25</v>
      </c>
      <c r="H164" s="0" t="n">
        <v>0.040666</v>
      </c>
      <c r="I164" s="0" t="n">
        <v>0.012999</v>
      </c>
      <c r="K164" s="0" t="s">
        <v>10</v>
      </c>
      <c r="L164" s="0" t="n">
        <v>5</v>
      </c>
      <c r="M164" s="0" t="n">
        <v>100</v>
      </c>
      <c r="N164" s="0" t="n">
        <v>250</v>
      </c>
      <c r="O164" s="4" t="n">
        <f aca="false">(E164+E181+E198)/3</f>
        <v>2.80533333333333</v>
      </c>
      <c r="P164" s="3" t="n">
        <f aca="false">(N164/O164)</f>
        <v>89.115969581749</v>
      </c>
      <c r="Q164" s="4" t="n">
        <f aca="false">(G164+G181+G198)/3</f>
        <v>2.195</v>
      </c>
      <c r="R164" s="5" t="n">
        <f aca="false">(H164+H181+H198)/3</f>
        <v>0.040666</v>
      </c>
      <c r="S164" s="5" t="n">
        <f aca="false">(I164+I181+I198)/3</f>
        <v>0.012997</v>
      </c>
    </row>
    <row r="165" customFormat="false" ht="12.8" hidden="false" customHeight="false" outlineLevel="0" collapsed="false">
      <c r="A165" s="0" t="s">
        <v>10</v>
      </c>
      <c r="B165" s="0" t="n">
        <v>5</v>
      </c>
      <c r="C165" s="0" t="n">
        <v>100</v>
      </c>
      <c r="D165" s="0" t="n">
        <v>500</v>
      </c>
      <c r="E165" s="0" t="n">
        <v>4.572</v>
      </c>
      <c r="G165" s="0" t="n">
        <v>3.508</v>
      </c>
      <c r="H165" s="0" t="n">
        <v>0.081333</v>
      </c>
      <c r="I165" s="0" t="n">
        <v>0.026006</v>
      </c>
      <c r="K165" s="0" t="s">
        <v>10</v>
      </c>
      <c r="L165" s="0" t="n">
        <v>5</v>
      </c>
      <c r="M165" s="0" t="n">
        <v>100</v>
      </c>
      <c r="N165" s="0" t="n">
        <v>500</v>
      </c>
      <c r="O165" s="4" t="n">
        <f aca="false">(E165+E182+E199)/3</f>
        <v>4.82633333333333</v>
      </c>
      <c r="P165" s="3" t="n">
        <f aca="false">(N165/O165)</f>
        <v>103.598314800746</v>
      </c>
      <c r="Q165" s="4" t="n">
        <f aca="false">(G165+G182+G199)/3</f>
        <v>3.66833333333333</v>
      </c>
      <c r="R165" s="5" t="n">
        <f aca="false">(H165+H182+H199)/3</f>
        <v>0.081333</v>
      </c>
      <c r="S165" s="5" t="n">
        <f aca="false">(I165+I182+I199)/3</f>
        <v>0.026009</v>
      </c>
    </row>
    <row r="166" customFormat="false" ht="12.8" hidden="false" customHeight="false" outlineLevel="0" collapsed="false">
      <c r="A166" s="0" t="s">
        <v>10</v>
      </c>
      <c r="B166" s="0" t="n">
        <v>5</v>
      </c>
      <c r="C166" s="0" t="n">
        <v>100</v>
      </c>
      <c r="D166" s="0" t="n">
        <v>750</v>
      </c>
      <c r="E166" s="0" t="n">
        <v>6.834</v>
      </c>
      <c r="G166" s="0" t="n">
        <v>5.152</v>
      </c>
      <c r="H166" s="0" t="n">
        <v>0.121999</v>
      </c>
      <c r="I166" s="0" t="n">
        <v>0.03898</v>
      </c>
      <c r="K166" s="0" t="s">
        <v>10</v>
      </c>
      <c r="L166" s="0" t="n">
        <v>5</v>
      </c>
      <c r="M166" s="0" t="n">
        <v>100</v>
      </c>
      <c r="N166" s="0" t="n">
        <v>750</v>
      </c>
      <c r="O166" s="4" t="n">
        <f aca="false">(E166+E183+E200)/3</f>
        <v>6.818</v>
      </c>
      <c r="P166" s="3" t="n">
        <f aca="false">(N166/O166)</f>
        <v>110.002933411558</v>
      </c>
      <c r="Q166" s="4" t="n">
        <f aca="false">(G166+G183+G200)/3</f>
        <v>5.21666666666667</v>
      </c>
      <c r="R166" s="5" t="n">
        <f aca="false">(H166+H183+H200)/3</f>
        <v>0.121999</v>
      </c>
      <c r="S166" s="5" t="n">
        <f aca="false">(I166+I183+I200)/3</f>
        <v>0.0389976666666667</v>
      </c>
    </row>
    <row r="167" customFormat="false" ht="12.8" hidden="false" customHeight="false" outlineLevel="0" collapsed="false">
      <c r="A167" s="0" t="s">
        <v>10</v>
      </c>
      <c r="B167" s="0" t="n">
        <v>5</v>
      </c>
      <c r="C167" s="0" t="n">
        <v>100</v>
      </c>
      <c r="D167" s="0" t="n">
        <v>1000</v>
      </c>
      <c r="E167" s="0" t="n">
        <v>9.237</v>
      </c>
      <c r="G167" s="0" t="n">
        <v>7.237</v>
      </c>
      <c r="H167" s="0" t="n">
        <v>0.162666</v>
      </c>
      <c r="I167" s="0" t="n">
        <v>0.052027</v>
      </c>
      <c r="K167" s="0" t="s">
        <v>10</v>
      </c>
      <c r="L167" s="0" t="n">
        <v>5</v>
      </c>
      <c r="M167" s="0" t="n">
        <v>100</v>
      </c>
      <c r="N167" s="0" t="n">
        <v>1000</v>
      </c>
      <c r="O167" s="4" t="n">
        <f aca="false">(E167+E184+E201)/3</f>
        <v>9.25733333333333</v>
      </c>
      <c r="P167" s="3" t="n">
        <f aca="false">(N167/O167)</f>
        <v>108.022468673484</v>
      </c>
      <c r="Q167" s="4" t="n">
        <f aca="false">(G167+G184+G201)/3</f>
        <v>7.302</v>
      </c>
      <c r="R167" s="5" t="n">
        <f aca="false">(H167+H184+H201)/3</f>
        <v>0.162665666666667</v>
      </c>
      <c r="S167" s="5" t="n">
        <f aca="false">(I167+I184+I201)/3</f>
        <v>0.052024</v>
      </c>
    </row>
    <row r="168" customFormat="false" ht="12.8" hidden="false" customHeight="false" outlineLevel="0" collapsed="false">
      <c r="A168" s="0" t="s">
        <v>10</v>
      </c>
      <c r="B168" s="0" t="n">
        <v>5</v>
      </c>
      <c r="C168" s="0" t="n">
        <v>97</v>
      </c>
      <c r="D168" s="0" t="n">
        <v>1500</v>
      </c>
      <c r="E168" s="0" t="n">
        <v>13.433</v>
      </c>
      <c r="G168" s="0" t="n">
        <v>10.306</v>
      </c>
      <c r="H168" s="0" t="n">
        <v>0.243998</v>
      </c>
      <c r="I168" s="0" t="n">
        <v>0.075434</v>
      </c>
      <c r="K168" s="0" t="s">
        <v>10</v>
      </c>
      <c r="L168" s="0" t="n">
        <v>5</v>
      </c>
      <c r="M168" s="0" t="n">
        <v>97</v>
      </c>
      <c r="N168" s="0" t="n">
        <v>1500</v>
      </c>
      <c r="O168" s="4" t="n">
        <f aca="false">(E168+E185+E202)/3</f>
        <v>13.4496666666667</v>
      </c>
      <c r="P168" s="3" t="n">
        <f aca="false">(N168/O168)</f>
        <v>111.526927557065</v>
      </c>
      <c r="Q168" s="4" t="n">
        <f aca="false">(G168+G185+G202)/3</f>
        <v>10.3463333333333</v>
      </c>
      <c r="R168" s="5" t="n">
        <f aca="false">(H168+H185+H202)/3</f>
        <v>0.243998333333333</v>
      </c>
      <c r="S168" s="5" t="n">
        <f aca="false">(I168+I185+I202)/3</f>
        <v>0.074843</v>
      </c>
    </row>
    <row r="169" customFormat="false" ht="12.8" hidden="false" customHeight="false" outlineLevel="0" collapsed="false">
      <c r="A169" s="0" t="s">
        <v>10</v>
      </c>
      <c r="B169" s="0" t="n">
        <v>5</v>
      </c>
      <c r="C169" s="0" t="n">
        <v>0</v>
      </c>
      <c r="D169" s="0" t="n">
        <v>2000</v>
      </c>
      <c r="K169" s="0" t="s">
        <v>10</v>
      </c>
      <c r="L169" s="0" t="n">
        <v>5</v>
      </c>
      <c r="M169" s="0" t="n">
        <v>0</v>
      </c>
      <c r="N169" s="0" t="n">
        <v>2000</v>
      </c>
      <c r="O169" s="4" t="n">
        <f aca="false">(E169+E186+E203)/3</f>
        <v>0</v>
      </c>
      <c r="P169" s="3" t="e">
        <f aca="false">(N169/O169)</f>
        <v>#DIV/0!</v>
      </c>
      <c r="Q169" s="4" t="n">
        <f aca="false">(G169+G186+G203)/3</f>
        <v>0</v>
      </c>
      <c r="R169" s="5" t="n">
        <f aca="false">(H169+H186+H203)/3</f>
        <v>0</v>
      </c>
      <c r="S169" s="5" t="n">
        <f aca="false">(I169+I186+I203)/3</f>
        <v>0</v>
      </c>
    </row>
    <row r="170" customFormat="false" ht="12.8" hidden="false" customHeight="false" outlineLevel="0" collapsed="false">
      <c r="A170" s="0" t="s">
        <v>10</v>
      </c>
      <c r="B170" s="0" t="n">
        <v>5</v>
      </c>
      <c r="C170" s="0" t="n">
        <v>0</v>
      </c>
      <c r="D170" s="0" t="n">
        <v>3000</v>
      </c>
      <c r="K170" s="0" t="s">
        <v>10</v>
      </c>
      <c r="L170" s="0" t="n">
        <v>5</v>
      </c>
      <c r="M170" s="0" t="n">
        <v>0</v>
      </c>
      <c r="N170" s="0" t="n">
        <v>3000</v>
      </c>
      <c r="O170" s="4" t="n">
        <f aca="false">(E170+E187+E204)/3</f>
        <v>0</v>
      </c>
      <c r="P170" s="3" t="e">
        <f aca="false">(N170/O170)</f>
        <v>#DIV/0!</v>
      </c>
      <c r="Q170" s="4" t="n">
        <f aca="false">(G170+G187+G204)/3</f>
        <v>0</v>
      </c>
      <c r="R170" s="5" t="n">
        <f aca="false">(H170+H187+H204)/3</f>
        <v>0</v>
      </c>
      <c r="S170" s="5" t="n">
        <f aca="false">(I170+I187+I204)/3</f>
        <v>0</v>
      </c>
    </row>
    <row r="171" customFormat="false" ht="12.8" hidden="false" customHeight="false" outlineLevel="0" collapsed="false">
      <c r="A171" s="0" t="s">
        <v>0</v>
      </c>
      <c r="B171" s="0" t="s">
        <v>1</v>
      </c>
      <c r="C171" s="0" t="s">
        <v>2</v>
      </c>
      <c r="D171" s="0" t="s">
        <v>3</v>
      </c>
      <c r="E171" s="0" t="s">
        <v>4</v>
      </c>
      <c r="G171" s="0" t="s">
        <v>6</v>
      </c>
      <c r="H171" s="0" t="s">
        <v>7</v>
      </c>
      <c r="I171" s="0" t="s">
        <v>8</v>
      </c>
    </row>
    <row r="172" customFormat="false" ht="12.8" hidden="false" customHeight="false" outlineLevel="0" collapsed="false">
      <c r="A172" s="0" t="s">
        <v>10</v>
      </c>
      <c r="B172" s="0" t="n">
        <v>5</v>
      </c>
      <c r="C172" s="0" t="n">
        <v>100</v>
      </c>
      <c r="D172" s="0" t="n">
        <v>10</v>
      </c>
      <c r="E172" s="0" t="n">
        <v>0.974</v>
      </c>
      <c r="G172" s="0" t="n">
        <v>0.925</v>
      </c>
      <c r="H172" s="0" t="n">
        <v>0.001661</v>
      </c>
      <c r="I172" s="0" t="n">
        <v>0.00054</v>
      </c>
    </row>
    <row r="173" customFormat="false" ht="12.8" hidden="false" customHeight="false" outlineLevel="0" collapsed="false">
      <c r="A173" s="0" t="s">
        <v>10</v>
      </c>
      <c r="B173" s="0" t="n">
        <v>5</v>
      </c>
      <c r="C173" s="0" t="n">
        <v>100</v>
      </c>
      <c r="D173" s="0" t="n">
        <v>15</v>
      </c>
      <c r="E173" s="0" t="n">
        <v>1.035</v>
      </c>
      <c r="G173" s="0" t="n">
        <v>0.862</v>
      </c>
      <c r="H173" s="0" t="n">
        <v>0.00244</v>
      </c>
      <c r="I173" s="0" t="n">
        <v>0.000784</v>
      </c>
    </row>
    <row r="174" customFormat="false" ht="12.8" hidden="false" customHeight="false" outlineLevel="0" collapsed="false">
      <c r="A174" s="0" t="s">
        <v>10</v>
      </c>
      <c r="B174" s="0" t="n">
        <v>5</v>
      </c>
      <c r="C174" s="0" t="n">
        <v>100</v>
      </c>
      <c r="D174" s="0" t="n">
        <v>20</v>
      </c>
      <c r="E174" s="0" t="n">
        <v>1.181</v>
      </c>
      <c r="G174" s="0" t="n">
        <v>0.995</v>
      </c>
      <c r="H174" s="0" t="n">
        <v>0.003253</v>
      </c>
      <c r="I174" s="0" t="n">
        <v>0.001039</v>
      </c>
    </row>
    <row r="175" customFormat="false" ht="12.8" hidden="false" customHeight="false" outlineLevel="0" collapsed="false">
      <c r="A175" s="0" t="s">
        <v>10</v>
      </c>
      <c r="B175" s="0" t="n">
        <v>5</v>
      </c>
      <c r="C175" s="0" t="n">
        <v>100</v>
      </c>
      <c r="D175" s="0" t="n">
        <v>25</v>
      </c>
      <c r="E175" s="0" t="n">
        <v>0.974</v>
      </c>
      <c r="G175" s="0" t="n">
        <v>0.798</v>
      </c>
      <c r="H175" s="0" t="n">
        <v>0.004067</v>
      </c>
      <c r="I175" s="0" t="n">
        <v>0.001301</v>
      </c>
    </row>
    <row r="176" customFormat="false" ht="12.8" hidden="false" customHeight="false" outlineLevel="0" collapsed="false">
      <c r="A176" s="0" t="s">
        <v>10</v>
      </c>
      <c r="B176" s="0" t="n">
        <v>5</v>
      </c>
      <c r="C176" s="0" t="n">
        <v>100</v>
      </c>
      <c r="D176" s="0" t="n">
        <v>50</v>
      </c>
      <c r="E176" s="0" t="n">
        <v>1.169</v>
      </c>
      <c r="G176" s="0" t="n">
        <v>0.969</v>
      </c>
      <c r="H176" s="0" t="n">
        <v>0.008133</v>
      </c>
      <c r="I176" s="0" t="n">
        <v>0.002599</v>
      </c>
    </row>
    <row r="177" customFormat="false" ht="12.8" hidden="false" customHeight="false" outlineLevel="0" collapsed="false">
      <c r="A177" s="0" t="s">
        <v>10</v>
      </c>
      <c r="B177" s="0" t="n">
        <v>5</v>
      </c>
      <c r="C177" s="0" t="n">
        <v>100</v>
      </c>
      <c r="D177" s="0" t="n">
        <v>75</v>
      </c>
      <c r="E177" s="0" t="n">
        <v>0.936</v>
      </c>
      <c r="G177" s="0" t="n">
        <v>0.703</v>
      </c>
      <c r="H177" s="0" t="n">
        <v>0.0122</v>
      </c>
      <c r="I177" s="0" t="n">
        <v>0.003891</v>
      </c>
    </row>
    <row r="178" customFormat="false" ht="12.8" hidden="false" customHeight="false" outlineLevel="0" collapsed="false">
      <c r="A178" s="0" t="s">
        <v>10</v>
      </c>
      <c r="B178" s="0" t="n">
        <v>5</v>
      </c>
      <c r="C178" s="0" t="n">
        <v>100</v>
      </c>
      <c r="D178" s="0" t="n">
        <v>100</v>
      </c>
      <c r="E178" s="0" t="n">
        <v>1.304</v>
      </c>
      <c r="G178" s="0" t="n">
        <v>1.066</v>
      </c>
      <c r="H178" s="0" t="n">
        <v>0.016266</v>
      </c>
      <c r="I178" s="0" t="n">
        <v>0.005206</v>
      </c>
    </row>
    <row r="179" customFormat="false" ht="12.8" hidden="false" customHeight="false" outlineLevel="0" collapsed="false">
      <c r="A179" s="0" t="s">
        <v>10</v>
      </c>
      <c r="B179" s="0" t="n">
        <v>5</v>
      </c>
      <c r="C179" s="0" t="n">
        <v>100</v>
      </c>
      <c r="D179" s="0" t="n">
        <v>150</v>
      </c>
      <c r="E179" s="0" t="n">
        <v>2.165</v>
      </c>
      <c r="G179" s="0" t="n">
        <v>1.682</v>
      </c>
      <c r="H179" s="0" t="n">
        <v>0.0244</v>
      </c>
      <c r="I179" s="0" t="n">
        <v>0.007818</v>
      </c>
    </row>
    <row r="180" customFormat="false" ht="12.8" hidden="false" customHeight="false" outlineLevel="0" collapsed="false">
      <c r="A180" s="0" t="s">
        <v>10</v>
      </c>
      <c r="B180" s="0" t="n">
        <v>5</v>
      </c>
      <c r="C180" s="0" t="n">
        <v>100</v>
      </c>
      <c r="D180" s="0" t="n">
        <v>200</v>
      </c>
      <c r="E180" s="0" t="n">
        <v>2.462</v>
      </c>
      <c r="G180" s="0" t="n">
        <v>1.934</v>
      </c>
      <c r="H180" s="0" t="n">
        <v>0.032533</v>
      </c>
      <c r="I180" s="0" t="n">
        <v>0.010386</v>
      </c>
    </row>
    <row r="181" customFormat="false" ht="12.8" hidden="false" customHeight="false" outlineLevel="0" collapsed="false">
      <c r="A181" s="0" t="s">
        <v>10</v>
      </c>
      <c r="B181" s="0" t="n">
        <v>5</v>
      </c>
      <c r="C181" s="0" t="n">
        <v>100</v>
      </c>
      <c r="D181" s="0" t="n">
        <v>250</v>
      </c>
      <c r="E181" s="0" t="n">
        <v>2.897</v>
      </c>
      <c r="G181" s="0" t="n">
        <v>2.314</v>
      </c>
      <c r="H181" s="0" t="n">
        <v>0.040666</v>
      </c>
      <c r="I181" s="0" t="n">
        <v>0.013002</v>
      </c>
    </row>
    <row r="182" customFormat="false" ht="12.8" hidden="false" customHeight="false" outlineLevel="0" collapsed="false">
      <c r="A182" s="0" t="s">
        <v>10</v>
      </c>
      <c r="B182" s="0" t="n">
        <v>5</v>
      </c>
      <c r="C182" s="0" t="n">
        <v>100</v>
      </c>
      <c r="D182" s="0" t="n">
        <v>500</v>
      </c>
      <c r="E182" s="0" t="n">
        <v>5.342</v>
      </c>
      <c r="G182" s="0" t="n">
        <v>4</v>
      </c>
      <c r="H182" s="0" t="n">
        <v>0.081333</v>
      </c>
      <c r="I182" s="0" t="n">
        <v>0.026012</v>
      </c>
    </row>
    <row r="183" customFormat="false" ht="12.8" hidden="false" customHeight="false" outlineLevel="0" collapsed="false">
      <c r="A183" s="0" t="s">
        <v>10</v>
      </c>
      <c r="B183" s="0" t="n">
        <v>5</v>
      </c>
      <c r="C183" s="0" t="n">
        <v>100</v>
      </c>
      <c r="D183" s="0" t="n">
        <v>750</v>
      </c>
      <c r="E183" s="0" t="n">
        <v>6.876</v>
      </c>
      <c r="G183" s="0" t="n">
        <v>5.324</v>
      </c>
      <c r="H183" s="0" t="n">
        <v>0.121999</v>
      </c>
      <c r="I183" s="0" t="n">
        <v>0.038994</v>
      </c>
    </row>
    <row r="184" customFormat="false" ht="12.8" hidden="false" customHeight="false" outlineLevel="0" collapsed="false">
      <c r="A184" s="0" t="s">
        <v>10</v>
      </c>
      <c r="B184" s="0" t="n">
        <v>5</v>
      </c>
      <c r="C184" s="0" t="n">
        <v>100</v>
      </c>
      <c r="D184" s="0" t="n">
        <v>1000</v>
      </c>
      <c r="E184" s="0" t="n">
        <v>9.222</v>
      </c>
      <c r="G184" s="0" t="n">
        <v>7.171</v>
      </c>
      <c r="H184" s="0" t="n">
        <v>0.162665</v>
      </c>
      <c r="I184" s="0" t="n">
        <v>0.052046</v>
      </c>
    </row>
    <row r="185" customFormat="false" ht="12.8" hidden="false" customHeight="false" outlineLevel="0" collapsed="false">
      <c r="A185" s="0" t="s">
        <v>10</v>
      </c>
      <c r="B185" s="0" t="n">
        <v>5</v>
      </c>
      <c r="C185" s="0" t="n">
        <v>97</v>
      </c>
      <c r="D185" s="0" t="n">
        <v>1500</v>
      </c>
      <c r="E185" s="0" t="n">
        <v>13.574</v>
      </c>
      <c r="G185" s="0" t="n">
        <v>10.359</v>
      </c>
      <c r="H185" s="0" t="n">
        <v>0.243999</v>
      </c>
      <c r="I185" s="0" t="n">
        <v>0.075578</v>
      </c>
    </row>
    <row r="186" customFormat="false" ht="12.8" hidden="false" customHeight="false" outlineLevel="0" collapsed="false">
      <c r="A186" s="0" t="s">
        <v>10</v>
      </c>
      <c r="B186" s="0" t="n">
        <v>5</v>
      </c>
      <c r="C186" s="0" t="n">
        <v>0</v>
      </c>
      <c r="D186" s="0" t="n">
        <v>2000</v>
      </c>
    </row>
    <row r="187" customFormat="false" ht="12.8" hidden="false" customHeight="false" outlineLevel="0" collapsed="false">
      <c r="A187" s="0" t="s">
        <v>10</v>
      </c>
      <c r="B187" s="0" t="n">
        <v>5</v>
      </c>
      <c r="C187" s="0" t="n">
        <v>0</v>
      </c>
      <c r="D187" s="0" t="n">
        <v>3000</v>
      </c>
    </row>
    <row r="188" customFormat="false" ht="12.8" hidden="false" customHeight="false" outlineLevel="0" collapsed="false">
      <c r="A188" s="0" t="s">
        <v>0</v>
      </c>
      <c r="B188" s="0" t="s">
        <v>1</v>
      </c>
      <c r="C188" s="0" t="s">
        <v>2</v>
      </c>
      <c r="D188" s="0" t="s">
        <v>3</v>
      </c>
      <c r="E188" s="0" t="s">
        <v>4</v>
      </c>
      <c r="G188" s="0" t="s">
        <v>6</v>
      </c>
      <c r="H188" s="0" t="s">
        <v>7</v>
      </c>
      <c r="I188" s="0" t="s">
        <v>8</v>
      </c>
    </row>
    <row r="189" customFormat="false" ht="12.8" hidden="false" customHeight="false" outlineLevel="0" collapsed="false">
      <c r="A189" s="0" t="s">
        <v>10</v>
      </c>
      <c r="B189" s="0" t="n">
        <v>5</v>
      </c>
      <c r="C189" s="0" t="n">
        <v>100</v>
      </c>
      <c r="D189" s="0" t="n">
        <v>10</v>
      </c>
      <c r="E189" s="0" t="n">
        <v>1.055</v>
      </c>
      <c r="G189" s="0" t="n">
        <v>0.838</v>
      </c>
      <c r="H189" s="0" t="n">
        <v>0.001661</v>
      </c>
      <c r="I189" s="0" t="n">
        <v>0.000537</v>
      </c>
    </row>
    <row r="190" customFormat="false" ht="12.8" hidden="false" customHeight="false" outlineLevel="0" collapsed="false">
      <c r="A190" s="0" t="s">
        <v>10</v>
      </c>
      <c r="B190" s="0" t="n">
        <v>5</v>
      </c>
      <c r="C190" s="0" t="n">
        <v>100</v>
      </c>
      <c r="D190" s="0" t="n">
        <v>15</v>
      </c>
      <c r="E190" s="0" t="n">
        <v>0.811</v>
      </c>
      <c r="G190" s="0" t="n">
        <v>0.611</v>
      </c>
      <c r="H190" s="0" t="n">
        <v>0.00244</v>
      </c>
      <c r="I190" s="0" t="n">
        <v>0.000775</v>
      </c>
    </row>
    <row r="191" customFormat="false" ht="12.8" hidden="false" customHeight="false" outlineLevel="0" collapsed="false">
      <c r="A191" s="0" t="s">
        <v>10</v>
      </c>
      <c r="B191" s="0" t="n">
        <v>5</v>
      </c>
      <c r="C191" s="0" t="n">
        <v>100</v>
      </c>
      <c r="D191" s="0" t="n">
        <v>20</v>
      </c>
      <c r="E191" s="0" t="n">
        <v>0.8</v>
      </c>
      <c r="G191" s="0" t="n">
        <v>0.6</v>
      </c>
      <c r="H191" s="0" t="n">
        <v>0.003253</v>
      </c>
      <c r="I191" s="0" t="n">
        <v>0.001042</v>
      </c>
    </row>
    <row r="192" customFormat="false" ht="12.8" hidden="false" customHeight="false" outlineLevel="0" collapsed="false">
      <c r="A192" s="0" t="s">
        <v>10</v>
      </c>
      <c r="B192" s="0" t="n">
        <v>5</v>
      </c>
      <c r="C192" s="0" t="n">
        <v>100</v>
      </c>
      <c r="D192" s="0" t="n">
        <v>25</v>
      </c>
      <c r="E192" s="0" t="n">
        <v>0.933</v>
      </c>
      <c r="G192" s="0" t="n">
        <v>0.773</v>
      </c>
      <c r="H192" s="0" t="n">
        <v>0.004067</v>
      </c>
      <c r="I192" s="0" t="n">
        <v>0.001298</v>
      </c>
    </row>
    <row r="193" customFormat="false" ht="12.8" hidden="false" customHeight="false" outlineLevel="0" collapsed="false">
      <c r="A193" s="0" t="s">
        <v>10</v>
      </c>
      <c r="B193" s="0" t="n">
        <v>5</v>
      </c>
      <c r="C193" s="0" t="n">
        <v>100</v>
      </c>
      <c r="D193" s="0" t="n">
        <v>50</v>
      </c>
      <c r="E193" s="0" t="n">
        <v>0.932</v>
      </c>
      <c r="G193" s="0" t="n">
        <v>0.739</v>
      </c>
      <c r="H193" s="0" t="n">
        <v>0.008133</v>
      </c>
      <c r="I193" s="0" t="n">
        <v>0.002604</v>
      </c>
    </row>
    <row r="194" customFormat="false" ht="12.8" hidden="false" customHeight="false" outlineLevel="0" collapsed="false">
      <c r="A194" s="0" t="s">
        <v>10</v>
      </c>
      <c r="B194" s="0" t="n">
        <v>5</v>
      </c>
      <c r="C194" s="0" t="n">
        <v>100</v>
      </c>
      <c r="D194" s="0" t="n">
        <v>75</v>
      </c>
      <c r="E194" s="0" t="n">
        <v>0.878</v>
      </c>
      <c r="G194" s="0" t="n">
        <v>0.69</v>
      </c>
      <c r="H194" s="0" t="n">
        <v>0.0122</v>
      </c>
      <c r="I194" s="0" t="n">
        <v>0.003902</v>
      </c>
    </row>
    <row r="195" customFormat="false" ht="12.8" hidden="false" customHeight="false" outlineLevel="0" collapsed="false">
      <c r="A195" s="0" t="s">
        <v>10</v>
      </c>
      <c r="B195" s="0" t="n">
        <v>5</v>
      </c>
      <c r="C195" s="0" t="n">
        <v>100</v>
      </c>
      <c r="D195" s="0" t="n">
        <v>100</v>
      </c>
      <c r="E195" s="0" t="n">
        <v>1.118</v>
      </c>
      <c r="G195" s="0" t="n">
        <v>0.884</v>
      </c>
      <c r="H195" s="0" t="n">
        <v>0.016266</v>
      </c>
      <c r="I195" s="0" t="n">
        <v>0.005208</v>
      </c>
    </row>
    <row r="196" customFormat="false" ht="12.8" hidden="false" customHeight="false" outlineLevel="0" collapsed="false">
      <c r="A196" s="0" t="s">
        <v>10</v>
      </c>
      <c r="B196" s="0" t="n">
        <v>5</v>
      </c>
      <c r="C196" s="0" t="n">
        <v>100</v>
      </c>
      <c r="D196" s="0" t="n">
        <v>150</v>
      </c>
      <c r="E196" s="0" t="n">
        <v>2.271</v>
      </c>
      <c r="G196" s="0" t="n">
        <v>1.855</v>
      </c>
      <c r="H196" s="0" t="n">
        <v>0.0244</v>
      </c>
      <c r="I196" s="0" t="n">
        <v>0.007788</v>
      </c>
    </row>
    <row r="197" customFormat="false" ht="12.8" hidden="false" customHeight="false" outlineLevel="0" collapsed="false">
      <c r="A197" s="0" t="s">
        <v>10</v>
      </c>
      <c r="B197" s="0" t="n">
        <v>5</v>
      </c>
      <c r="C197" s="0" t="n">
        <v>100</v>
      </c>
      <c r="D197" s="0" t="n">
        <v>200</v>
      </c>
      <c r="E197" s="0" t="n">
        <v>2.607</v>
      </c>
      <c r="G197" s="0" t="n">
        <v>2.082</v>
      </c>
      <c r="H197" s="0" t="n">
        <v>0.032533</v>
      </c>
      <c r="I197" s="0" t="n">
        <v>0.010406</v>
      </c>
    </row>
    <row r="198" customFormat="false" ht="12.8" hidden="false" customHeight="false" outlineLevel="0" collapsed="false">
      <c r="A198" s="0" t="s">
        <v>10</v>
      </c>
      <c r="B198" s="0" t="n">
        <v>5</v>
      </c>
      <c r="C198" s="0" t="n">
        <v>100</v>
      </c>
      <c r="D198" s="0" t="n">
        <v>250</v>
      </c>
      <c r="E198" s="0" t="n">
        <v>2.709</v>
      </c>
      <c r="G198" s="0" t="n">
        <v>2.021</v>
      </c>
      <c r="H198" s="0" t="n">
        <v>0.040666</v>
      </c>
      <c r="I198" s="0" t="n">
        <v>0.01299</v>
      </c>
    </row>
    <row r="199" customFormat="false" ht="12.8" hidden="false" customHeight="false" outlineLevel="0" collapsed="false">
      <c r="A199" s="0" t="s">
        <v>10</v>
      </c>
      <c r="B199" s="0" t="n">
        <v>5</v>
      </c>
      <c r="C199" s="0" t="n">
        <v>100</v>
      </c>
      <c r="D199" s="0" t="n">
        <v>500</v>
      </c>
      <c r="E199" s="0" t="n">
        <v>4.565</v>
      </c>
      <c r="G199" s="0" t="n">
        <v>3.497</v>
      </c>
      <c r="H199" s="0" t="n">
        <v>0.081333</v>
      </c>
      <c r="I199" s="0" t="n">
        <v>0.026009</v>
      </c>
    </row>
    <row r="200" customFormat="false" ht="12.8" hidden="false" customHeight="false" outlineLevel="0" collapsed="false">
      <c r="A200" s="0" t="s">
        <v>10</v>
      </c>
      <c r="B200" s="0" t="n">
        <v>5</v>
      </c>
      <c r="C200" s="0" t="n">
        <v>100</v>
      </c>
      <c r="D200" s="0" t="n">
        <v>750</v>
      </c>
      <c r="E200" s="0" t="n">
        <v>6.744</v>
      </c>
      <c r="G200" s="0" t="n">
        <v>5.174</v>
      </c>
      <c r="H200" s="0" t="n">
        <v>0.121999</v>
      </c>
      <c r="I200" s="0" t="n">
        <v>0.039019</v>
      </c>
    </row>
    <row r="201" customFormat="false" ht="12.8" hidden="false" customHeight="false" outlineLevel="0" collapsed="false">
      <c r="A201" s="0" t="s">
        <v>10</v>
      </c>
      <c r="B201" s="0" t="n">
        <v>5</v>
      </c>
      <c r="C201" s="0" t="n">
        <v>100</v>
      </c>
      <c r="D201" s="0" t="n">
        <v>1000</v>
      </c>
      <c r="E201" s="0" t="n">
        <v>9.313</v>
      </c>
      <c r="G201" s="0" t="n">
        <v>7.498</v>
      </c>
      <c r="H201" s="0" t="n">
        <v>0.162666</v>
      </c>
      <c r="I201" s="0" t="n">
        <v>0.051999</v>
      </c>
    </row>
    <row r="202" customFormat="false" ht="12.8" hidden="false" customHeight="false" outlineLevel="0" collapsed="false">
      <c r="A202" s="0" t="s">
        <v>10</v>
      </c>
      <c r="B202" s="0" t="n">
        <v>5</v>
      </c>
      <c r="C202" s="0" t="n">
        <v>94</v>
      </c>
      <c r="D202" s="0" t="n">
        <v>1500</v>
      </c>
      <c r="E202" s="0" t="n">
        <v>13.342</v>
      </c>
      <c r="G202" s="0" t="n">
        <v>10.374</v>
      </c>
      <c r="H202" s="0" t="n">
        <v>0.243998</v>
      </c>
      <c r="I202" s="0" t="n">
        <v>0.073517</v>
      </c>
    </row>
    <row r="203" customFormat="false" ht="12.8" hidden="false" customHeight="false" outlineLevel="0" collapsed="false">
      <c r="A203" s="0" t="s">
        <v>10</v>
      </c>
      <c r="B203" s="0" t="n">
        <v>5</v>
      </c>
      <c r="C203" s="0" t="n">
        <v>0</v>
      </c>
      <c r="D203" s="0" t="n">
        <v>2000</v>
      </c>
    </row>
    <row r="204" customFormat="false" ht="12.8" hidden="false" customHeight="false" outlineLevel="0" collapsed="false">
      <c r="A204" s="0" t="s">
        <v>10</v>
      </c>
      <c r="B204" s="0" t="n">
        <v>5</v>
      </c>
      <c r="C204" s="0" t="n">
        <v>0</v>
      </c>
      <c r="D204" s="0" t="n">
        <v>3000</v>
      </c>
    </row>
    <row r="205" customFormat="false" ht="12.8" hidden="false" customHeight="false" outlineLevel="0" collapsed="false">
      <c r="A205" s="0" t="s">
        <v>0</v>
      </c>
      <c r="B205" s="0" t="s">
        <v>1</v>
      </c>
      <c r="C205" s="0" t="s">
        <v>2</v>
      </c>
      <c r="D205" s="0" t="s">
        <v>3</v>
      </c>
      <c r="E205" s="0" t="s">
        <v>4</v>
      </c>
      <c r="G205" s="0" t="s">
        <v>6</v>
      </c>
      <c r="H205" s="0" t="s">
        <v>7</v>
      </c>
      <c r="I205" s="0" t="s">
        <v>8</v>
      </c>
      <c r="K205" s="0" t="s">
        <v>0</v>
      </c>
      <c r="L205" s="0" t="s">
        <v>1</v>
      </c>
      <c r="M205" s="0" t="s">
        <v>2</v>
      </c>
      <c r="N205" s="0" t="s">
        <v>3</v>
      </c>
      <c r="O205" s="0" t="s">
        <v>4</v>
      </c>
      <c r="P205" s="0" t="s">
        <v>5</v>
      </c>
      <c r="Q205" s="0" t="s">
        <v>6</v>
      </c>
      <c r="R205" s="0" t="s">
        <v>7</v>
      </c>
      <c r="S205" s="0" t="s">
        <v>8</v>
      </c>
    </row>
    <row r="206" customFormat="false" ht="12.8" hidden="false" customHeight="false" outlineLevel="0" collapsed="false">
      <c r="A206" s="0" t="s">
        <v>11</v>
      </c>
      <c r="B206" s="0" t="n">
        <v>5</v>
      </c>
      <c r="C206" s="0" t="n">
        <v>100</v>
      </c>
      <c r="D206" s="0" t="n">
        <v>10</v>
      </c>
      <c r="E206" s="0" t="n">
        <v>0.915</v>
      </c>
      <c r="G206" s="0" t="n">
        <v>0.708</v>
      </c>
      <c r="H206" s="0" t="n">
        <v>0.001661</v>
      </c>
      <c r="I206" s="0" t="n">
        <v>0.000537</v>
      </c>
      <c r="K206" s="0" t="s">
        <v>11</v>
      </c>
      <c r="L206" s="0" t="n">
        <v>5</v>
      </c>
      <c r="M206" s="0" t="n">
        <v>100</v>
      </c>
      <c r="N206" s="0" t="n">
        <v>10</v>
      </c>
      <c r="O206" s="4" t="n">
        <f aca="false">(E206+E223+E240)/3</f>
        <v>0.871</v>
      </c>
      <c r="P206" s="3" t="n">
        <f aca="false">(N206/O206)</f>
        <v>11.4810562571757</v>
      </c>
      <c r="Q206" s="4" t="n">
        <f aca="false">(G206+G223+G240)/3</f>
        <v>0.658</v>
      </c>
      <c r="R206" s="5" t="n">
        <f aca="false">(H206+H223+H240)/3</f>
        <v>0.001661</v>
      </c>
      <c r="S206" s="5" t="n">
        <f aca="false">(I206+I223+I240)/3</f>
        <v>0.000535</v>
      </c>
    </row>
    <row r="207" customFormat="false" ht="12.8" hidden="false" customHeight="false" outlineLevel="0" collapsed="false">
      <c r="A207" s="0" t="s">
        <v>11</v>
      </c>
      <c r="B207" s="0" t="n">
        <v>5</v>
      </c>
      <c r="C207" s="0" t="n">
        <v>100</v>
      </c>
      <c r="D207" s="0" t="n">
        <v>15</v>
      </c>
      <c r="E207" s="0" t="n">
        <v>0.827</v>
      </c>
      <c r="G207" s="0" t="n">
        <v>0.626</v>
      </c>
      <c r="H207" s="0" t="n">
        <v>0.00244</v>
      </c>
      <c r="I207" s="0" t="n">
        <v>0.000778</v>
      </c>
      <c r="K207" s="0" t="s">
        <v>11</v>
      </c>
      <c r="L207" s="0" t="n">
        <v>5</v>
      </c>
      <c r="M207" s="0" t="n">
        <v>100</v>
      </c>
      <c r="N207" s="0" t="n">
        <v>15</v>
      </c>
      <c r="O207" s="4" t="n">
        <f aca="false">(E207+E224+E241)/3</f>
        <v>0.875666666666667</v>
      </c>
      <c r="P207" s="3" t="n">
        <f aca="false">(N207/O207)</f>
        <v>17.1298058622002</v>
      </c>
      <c r="Q207" s="4" t="n">
        <f aca="false">(G207+G224+G241)/3</f>
        <v>0.678666666666667</v>
      </c>
      <c r="R207" s="5" t="n">
        <f aca="false">(H207+H224+H241)/3</f>
        <v>0.00244</v>
      </c>
      <c r="S207" s="5" t="n">
        <f aca="false">(I207+I224+I241)/3</f>
        <v>0.000781</v>
      </c>
    </row>
    <row r="208" customFormat="false" ht="12.8" hidden="false" customHeight="false" outlineLevel="0" collapsed="false">
      <c r="A208" s="0" t="s">
        <v>11</v>
      </c>
      <c r="B208" s="0" t="n">
        <v>5</v>
      </c>
      <c r="C208" s="0" t="n">
        <v>100</v>
      </c>
      <c r="D208" s="0" t="n">
        <v>20</v>
      </c>
      <c r="E208" s="0" t="n">
        <v>0.935</v>
      </c>
      <c r="G208" s="0" t="n">
        <v>0.753</v>
      </c>
      <c r="H208" s="0" t="n">
        <v>0.003253</v>
      </c>
      <c r="I208" s="0" t="n">
        <v>0.001037</v>
      </c>
      <c r="K208" s="0" t="s">
        <v>11</v>
      </c>
      <c r="L208" s="0" t="n">
        <v>5</v>
      </c>
      <c r="M208" s="0" t="n">
        <v>100</v>
      </c>
      <c r="N208" s="0" t="n">
        <v>20</v>
      </c>
      <c r="O208" s="4" t="n">
        <f aca="false">(E208+E225+E242)/3</f>
        <v>0.964</v>
      </c>
      <c r="P208" s="3" t="n">
        <f aca="false">(N208/O208)</f>
        <v>20.746887966805</v>
      </c>
      <c r="Q208" s="4" t="n">
        <f aca="false">(G208+G225+G242)/3</f>
        <v>0.773333333333333</v>
      </c>
      <c r="R208" s="5" t="n">
        <f aca="false">(H208+H225+H242)/3</f>
        <v>0.003253</v>
      </c>
      <c r="S208" s="5" t="n">
        <f aca="false">(I208+I225+I242)/3</f>
        <v>0.00103766666666667</v>
      </c>
    </row>
    <row r="209" customFormat="false" ht="12.8" hidden="false" customHeight="false" outlineLevel="0" collapsed="false">
      <c r="A209" s="0" t="s">
        <v>11</v>
      </c>
      <c r="B209" s="0" t="n">
        <v>5</v>
      </c>
      <c r="C209" s="0" t="n">
        <v>100</v>
      </c>
      <c r="D209" s="0" t="n">
        <v>25</v>
      </c>
      <c r="E209" s="0" t="n">
        <v>0.902</v>
      </c>
      <c r="G209" s="0" t="n">
        <v>0.726</v>
      </c>
      <c r="H209" s="0" t="n">
        <v>0.004067</v>
      </c>
      <c r="I209" s="0" t="n">
        <v>0.001304</v>
      </c>
      <c r="K209" s="0" t="s">
        <v>11</v>
      </c>
      <c r="L209" s="0" t="n">
        <v>5</v>
      </c>
      <c r="M209" s="0" t="n">
        <v>100</v>
      </c>
      <c r="N209" s="0" t="n">
        <v>25</v>
      </c>
      <c r="O209" s="4" t="n">
        <f aca="false">(E209+E226+E243)/3</f>
        <v>0.996666666666667</v>
      </c>
      <c r="P209" s="3" t="n">
        <f aca="false">(N209/O209)</f>
        <v>25.0836120401338</v>
      </c>
      <c r="Q209" s="4" t="n">
        <f aca="false">(G209+G226+G243)/3</f>
        <v>0.804666666666667</v>
      </c>
      <c r="R209" s="5" t="n">
        <f aca="false">(H209+H226+H243)/3</f>
        <v>0.004067</v>
      </c>
      <c r="S209" s="5" t="n">
        <f aca="false">(I209+I226+I243)/3</f>
        <v>0.0013</v>
      </c>
    </row>
    <row r="210" customFormat="false" ht="12.8" hidden="false" customHeight="false" outlineLevel="0" collapsed="false">
      <c r="A210" s="0" t="s">
        <v>11</v>
      </c>
      <c r="B210" s="0" t="n">
        <v>5</v>
      </c>
      <c r="C210" s="0" t="n">
        <v>100</v>
      </c>
      <c r="D210" s="0" t="n">
        <v>50</v>
      </c>
      <c r="E210" s="0" t="n">
        <v>0.918</v>
      </c>
      <c r="G210" s="0" t="n">
        <v>0.7</v>
      </c>
      <c r="H210" s="0" t="n">
        <v>0.008133</v>
      </c>
      <c r="I210" s="0" t="n">
        <v>0.002602</v>
      </c>
      <c r="K210" s="0" t="s">
        <v>11</v>
      </c>
      <c r="L210" s="0" t="n">
        <v>5</v>
      </c>
      <c r="M210" s="0" t="n">
        <v>100</v>
      </c>
      <c r="N210" s="0" t="n">
        <v>50</v>
      </c>
      <c r="O210" s="4" t="n">
        <f aca="false">(E210+E227+E244)/3</f>
        <v>1.01866666666667</v>
      </c>
      <c r="P210" s="3" t="n">
        <f aca="false">(N210/O210)</f>
        <v>49.0837696335079</v>
      </c>
      <c r="Q210" s="4" t="n">
        <f aca="false">(G210+G227+G244)/3</f>
        <v>0.798</v>
      </c>
      <c r="R210" s="5" t="n">
        <f aca="false">(H210+H227+H244)/3</f>
        <v>0.008133</v>
      </c>
      <c r="S210" s="5" t="n">
        <f aca="false">(I210+I227+I244)/3</f>
        <v>0.00260266666666667</v>
      </c>
    </row>
    <row r="211" customFormat="false" ht="12.8" hidden="false" customHeight="false" outlineLevel="0" collapsed="false">
      <c r="A211" s="0" t="s">
        <v>11</v>
      </c>
      <c r="B211" s="0" t="n">
        <v>5</v>
      </c>
      <c r="C211" s="0" t="n">
        <v>100</v>
      </c>
      <c r="D211" s="0" t="n">
        <v>75</v>
      </c>
      <c r="E211" s="0" t="n">
        <v>1.307</v>
      </c>
      <c r="G211" s="0" t="n">
        <v>0.932</v>
      </c>
      <c r="H211" s="0" t="n">
        <v>0.0122</v>
      </c>
      <c r="I211" s="0" t="n">
        <v>0.003897</v>
      </c>
      <c r="K211" s="0" t="s">
        <v>11</v>
      </c>
      <c r="L211" s="0" t="n">
        <v>5</v>
      </c>
      <c r="M211" s="0" t="n">
        <v>100</v>
      </c>
      <c r="N211" s="0" t="n">
        <v>75</v>
      </c>
      <c r="O211" s="4" t="n">
        <f aca="false">(E211+E228+E245)/3</f>
        <v>1.54166666666667</v>
      </c>
      <c r="P211" s="3" t="n">
        <f aca="false">(N211/O211)</f>
        <v>48.6486486486486</v>
      </c>
      <c r="Q211" s="4" t="n">
        <f aca="false">(G211+G228+G245)/3</f>
        <v>1.20966666666667</v>
      </c>
      <c r="R211" s="5" t="n">
        <f aca="false">(H211+H228+H245)/3</f>
        <v>0.0122</v>
      </c>
      <c r="S211" s="5" t="n">
        <f aca="false">(I211+I228+I245)/3</f>
        <v>0.003893</v>
      </c>
    </row>
    <row r="212" customFormat="false" ht="12.8" hidden="false" customHeight="false" outlineLevel="0" collapsed="false">
      <c r="A212" s="0" t="s">
        <v>11</v>
      </c>
      <c r="B212" s="0" t="n">
        <v>5</v>
      </c>
      <c r="C212" s="0" t="n">
        <v>100</v>
      </c>
      <c r="D212" s="0" t="n">
        <v>100</v>
      </c>
      <c r="E212" s="0" t="n">
        <v>0.872</v>
      </c>
      <c r="G212" s="0" t="n">
        <v>0.643</v>
      </c>
      <c r="H212" s="0" t="n">
        <v>0.016267</v>
      </c>
      <c r="I212" s="0" t="n">
        <v>0.005214</v>
      </c>
      <c r="K212" s="0" t="s">
        <v>11</v>
      </c>
      <c r="L212" s="0" t="n">
        <v>5</v>
      </c>
      <c r="M212" s="0" t="n">
        <v>100</v>
      </c>
      <c r="N212" s="0" t="n">
        <v>100</v>
      </c>
      <c r="O212" s="4" t="n">
        <f aca="false">(E212+E229+E246)/3</f>
        <v>1.414</v>
      </c>
      <c r="P212" s="3" t="n">
        <f aca="false">(N212/O212)</f>
        <v>70.7213578500707</v>
      </c>
      <c r="Q212" s="4" t="n">
        <f aca="false">(G212+G229+G246)/3</f>
        <v>1.12466666666667</v>
      </c>
      <c r="R212" s="5" t="n">
        <f aca="false">(H212+H229+H246)/3</f>
        <v>0.0162666666666667</v>
      </c>
      <c r="S212" s="5" t="n">
        <f aca="false">(I212+I229+I246)/3</f>
        <v>0.005198</v>
      </c>
    </row>
    <row r="213" customFormat="false" ht="12.8" hidden="false" customHeight="false" outlineLevel="0" collapsed="false">
      <c r="A213" s="0" t="s">
        <v>11</v>
      </c>
      <c r="B213" s="0" t="n">
        <v>5</v>
      </c>
      <c r="C213" s="0" t="n">
        <v>100</v>
      </c>
      <c r="D213" s="0" t="n">
        <v>150</v>
      </c>
      <c r="E213" s="0" t="n">
        <v>1.853</v>
      </c>
      <c r="G213" s="0" t="n">
        <v>1.358</v>
      </c>
      <c r="H213" s="0" t="n">
        <v>0.0244</v>
      </c>
      <c r="I213" s="0" t="n">
        <v>0.007793</v>
      </c>
      <c r="K213" s="0" t="s">
        <v>11</v>
      </c>
      <c r="L213" s="0" t="n">
        <v>5</v>
      </c>
      <c r="M213" s="0" t="n">
        <v>100</v>
      </c>
      <c r="N213" s="0" t="n">
        <v>150</v>
      </c>
      <c r="O213" s="4" t="n">
        <f aca="false">(E213+E230+E247)/3</f>
        <v>1.77433333333333</v>
      </c>
      <c r="P213" s="3" t="n">
        <f aca="false">(N213/O213)</f>
        <v>84.5387939132068</v>
      </c>
      <c r="Q213" s="4" t="n">
        <f aca="false">(G213+G230+G247)/3</f>
        <v>1.317</v>
      </c>
      <c r="R213" s="5" t="n">
        <f aca="false">(H213+H230+H247)/3</f>
        <v>0.0244</v>
      </c>
      <c r="S213" s="5" t="n">
        <f aca="false">(I213+I230+I247)/3</f>
        <v>0.00779333333333333</v>
      </c>
    </row>
    <row r="214" customFormat="false" ht="12.8" hidden="false" customHeight="false" outlineLevel="0" collapsed="false">
      <c r="A214" s="0" t="s">
        <v>11</v>
      </c>
      <c r="B214" s="0" t="n">
        <v>5</v>
      </c>
      <c r="C214" s="0" t="n">
        <v>100</v>
      </c>
      <c r="D214" s="0" t="n">
        <v>200</v>
      </c>
      <c r="E214" s="0" t="n">
        <v>1.846</v>
      </c>
      <c r="G214" s="0" t="n">
        <v>1.391</v>
      </c>
      <c r="H214" s="0" t="n">
        <v>0.032533</v>
      </c>
      <c r="I214" s="0" t="n">
        <v>0.010397</v>
      </c>
      <c r="K214" s="0" t="s">
        <v>11</v>
      </c>
      <c r="L214" s="0" t="n">
        <v>5</v>
      </c>
      <c r="M214" s="0" t="n">
        <v>100</v>
      </c>
      <c r="N214" s="0" t="n">
        <v>200</v>
      </c>
      <c r="O214" s="4" t="n">
        <f aca="false">(E214+E231+E248)/3</f>
        <v>1.83266666666667</v>
      </c>
      <c r="P214" s="3" t="n">
        <f aca="false">(N214/O214)</f>
        <v>109.130592942888</v>
      </c>
      <c r="Q214" s="4" t="n">
        <f aca="false">(G214+G231+G248)/3</f>
        <v>1.351</v>
      </c>
      <c r="R214" s="5" t="n">
        <f aca="false">(H214+H231+H248)/3</f>
        <v>0.032533</v>
      </c>
      <c r="S214" s="5" t="n">
        <f aca="false">(I214+I231+I248)/3</f>
        <v>0.0103953333333333</v>
      </c>
    </row>
    <row r="215" customFormat="false" ht="12.8" hidden="false" customHeight="false" outlineLevel="0" collapsed="false">
      <c r="A215" s="0" t="s">
        <v>11</v>
      </c>
      <c r="B215" s="0" t="n">
        <v>5</v>
      </c>
      <c r="C215" s="0" t="n">
        <v>100</v>
      </c>
      <c r="D215" s="0" t="n">
        <v>250</v>
      </c>
      <c r="E215" s="0" t="n">
        <v>1.647</v>
      </c>
      <c r="G215" s="0" t="n">
        <v>1.127</v>
      </c>
      <c r="H215" s="0" t="n">
        <v>0.040666</v>
      </c>
      <c r="I215" s="0" t="n">
        <v>0.012985</v>
      </c>
      <c r="K215" s="0" t="s">
        <v>11</v>
      </c>
      <c r="L215" s="0" t="n">
        <v>5</v>
      </c>
      <c r="M215" s="0" t="n">
        <v>100</v>
      </c>
      <c r="N215" s="0" t="n">
        <v>250</v>
      </c>
      <c r="O215" s="4" t="n">
        <f aca="false">(E215+E232+E249)/3</f>
        <v>1.66033333333333</v>
      </c>
      <c r="P215" s="3" t="n">
        <f aca="false">(N215/O215)</f>
        <v>150.572174262196</v>
      </c>
      <c r="Q215" s="4" t="n">
        <f aca="false">(G215+G232+G249)/3</f>
        <v>1.09666666666667</v>
      </c>
      <c r="R215" s="5" t="n">
        <f aca="false">(H215+H232+H249)/3</f>
        <v>0.040666</v>
      </c>
      <c r="S215" s="5" t="n">
        <f aca="false">(I215+I232+I249)/3</f>
        <v>0.0129943333333333</v>
      </c>
    </row>
    <row r="216" customFormat="false" ht="12.8" hidden="false" customHeight="false" outlineLevel="0" collapsed="false">
      <c r="A216" s="0" t="s">
        <v>11</v>
      </c>
      <c r="B216" s="0" t="n">
        <v>5</v>
      </c>
      <c r="C216" s="0" t="n">
        <v>100</v>
      </c>
      <c r="D216" s="0" t="n">
        <v>500</v>
      </c>
      <c r="E216" s="0" t="n">
        <v>2.677</v>
      </c>
      <c r="G216" s="0" t="n">
        <v>1.526</v>
      </c>
      <c r="H216" s="0" t="n">
        <v>0.081333</v>
      </c>
      <c r="I216" s="0" t="n">
        <v>0.02602</v>
      </c>
      <c r="K216" s="0" t="s">
        <v>11</v>
      </c>
      <c r="L216" s="0" t="n">
        <v>5</v>
      </c>
      <c r="M216" s="0" t="n">
        <v>100</v>
      </c>
      <c r="N216" s="0" t="n">
        <v>500</v>
      </c>
      <c r="O216" s="4" t="n">
        <f aca="false">(E216+E233+E250)/3</f>
        <v>2.63766666666667</v>
      </c>
      <c r="P216" s="3" t="n">
        <f aca="false">(N216/O216)</f>
        <v>189.561481107039</v>
      </c>
      <c r="Q216" s="4" t="n">
        <f aca="false">(G216+G233+G250)/3</f>
        <v>1.488</v>
      </c>
      <c r="R216" s="5" t="n">
        <f aca="false">(H216+H233+H250)/3</f>
        <v>0.081333</v>
      </c>
      <c r="S216" s="5" t="n">
        <f aca="false">(I216+I233+I250)/3</f>
        <v>0.0260073333333333</v>
      </c>
    </row>
    <row r="217" customFormat="false" ht="12.8" hidden="false" customHeight="false" outlineLevel="0" collapsed="false">
      <c r="A217" s="0" t="s">
        <v>11</v>
      </c>
      <c r="B217" s="0" t="n">
        <v>5</v>
      </c>
      <c r="C217" s="0" t="n">
        <v>100</v>
      </c>
      <c r="D217" s="0" t="n">
        <v>750</v>
      </c>
      <c r="E217" s="0" t="n">
        <v>3.223</v>
      </c>
      <c r="G217" s="0" t="n">
        <v>1.569</v>
      </c>
      <c r="H217" s="0" t="n">
        <v>0.122</v>
      </c>
      <c r="I217" s="0" t="n">
        <v>0.038991</v>
      </c>
      <c r="K217" s="0" t="s">
        <v>11</v>
      </c>
      <c r="L217" s="0" t="n">
        <v>5</v>
      </c>
      <c r="M217" s="0" t="n">
        <v>100</v>
      </c>
      <c r="N217" s="0" t="n">
        <v>750</v>
      </c>
      <c r="O217" s="4" t="n">
        <f aca="false">(E217+E234+E251)/3</f>
        <v>3.228</v>
      </c>
      <c r="P217" s="3" t="n">
        <f aca="false">(N217/O217)</f>
        <v>232.342007434944</v>
      </c>
      <c r="Q217" s="4" t="n">
        <f aca="false">(G217+G234+G251)/3</f>
        <v>1.65733333333333</v>
      </c>
      <c r="R217" s="5" t="n">
        <f aca="false">(H217+H234+H251)/3</f>
        <v>0.121999333333333</v>
      </c>
      <c r="S217" s="5" t="n">
        <f aca="false">(I217+I234+I251)/3</f>
        <v>0.0389926666666667</v>
      </c>
    </row>
    <row r="218" customFormat="false" ht="12.8" hidden="false" customHeight="false" outlineLevel="0" collapsed="false">
      <c r="A218" s="0" t="s">
        <v>11</v>
      </c>
      <c r="B218" s="0" t="n">
        <v>5</v>
      </c>
      <c r="C218" s="0" t="n">
        <v>100</v>
      </c>
      <c r="D218" s="0" t="n">
        <v>1000</v>
      </c>
      <c r="E218" s="0" t="n">
        <v>4.23</v>
      </c>
      <c r="G218" s="0" t="n">
        <v>2.402</v>
      </c>
      <c r="H218" s="0" t="n">
        <v>0.162666</v>
      </c>
      <c r="I218" s="0" t="n">
        <v>0.051973</v>
      </c>
      <c r="K218" s="0" t="s">
        <v>11</v>
      </c>
      <c r="L218" s="0" t="n">
        <v>5</v>
      </c>
      <c r="M218" s="0" t="n">
        <v>100</v>
      </c>
      <c r="N218" s="0" t="n">
        <v>1000</v>
      </c>
      <c r="O218" s="4" t="n">
        <f aca="false">(E218+E235+E252)/3</f>
        <v>4.27233333333333</v>
      </c>
      <c r="P218" s="3" t="n">
        <f aca="false">(N218/O218)</f>
        <v>234.064133572599</v>
      </c>
      <c r="Q218" s="4" t="n">
        <f aca="false">(G218+G235+G252)/3</f>
        <v>2.409</v>
      </c>
      <c r="R218" s="5" t="n">
        <f aca="false">(H218+H235+H252)/3</f>
        <v>0.162666</v>
      </c>
      <c r="S218" s="5" t="n">
        <f aca="false">(I218+I235+I252)/3</f>
        <v>0.0519766666666667</v>
      </c>
    </row>
    <row r="219" customFormat="false" ht="12.8" hidden="false" customHeight="false" outlineLevel="0" collapsed="false">
      <c r="A219" s="0" t="s">
        <v>11</v>
      </c>
      <c r="B219" s="0" t="n">
        <v>5</v>
      </c>
      <c r="C219" s="0" t="n">
        <v>100</v>
      </c>
      <c r="D219" s="0" t="n">
        <v>1500</v>
      </c>
      <c r="E219" s="0" t="n">
        <v>6.869</v>
      </c>
      <c r="G219" s="0" t="n">
        <v>3.686</v>
      </c>
      <c r="H219" s="0" t="n">
        <v>0.243999</v>
      </c>
      <c r="I219" s="0" t="n">
        <v>0.077977</v>
      </c>
      <c r="K219" s="0" t="s">
        <v>11</v>
      </c>
      <c r="L219" s="0" t="n">
        <v>5</v>
      </c>
      <c r="M219" s="0" t="n">
        <v>100</v>
      </c>
      <c r="N219" s="0" t="n">
        <v>1500</v>
      </c>
      <c r="O219" s="4" t="n">
        <f aca="false">(E219+E236+E253)/3</f>
        <v>6.961</v>
      </c>
      <c r="P219" s="3" t="n">
        <f aca="false">(N219/O219)</f>
        <v>215.486280706795</v>
      </c>
      <c r="Q219" s="4" t="n">
        <f aca="false">(G219+G236+G253)/3</f>
        <v>3.829</v>
      </c>
      <c r="R219" s="5" t="n">
        <f aca="false">(H219+H236+H253)/3</f>
        <v>0.243998333333333</v>
      </c>
      <c r="S219" s="5" t="n">
        <f aca="false">(I219+I236+I253)/3</f>
        <v>0.07799</v>
      </c>
    </row>
    <row r="220" customFormat="false" ht="12.8" hidden="false" customHeight="false" outlineLevel="0" collapsed="false">
      <c r="A220" s="0" t="s">
        <v>11</v>
      </c>
      <c r="B220" s="0" t="n">
        <v>5</v>
      </c>
      <c r="C220" s="0" t="n">
        <v>100</v>
      </c>
      <c r="D220" s="0" t="n">
        <v>2000</v>
      </c>
      <c r="E220" s="0" t="n">
        <v>9.15</v>
      </c>
      <c r="G220" s="0" t="n">
        <v>4.536</v>
      </c>
      <c r="H220" s="0" t="n">
        <v>0.325332</v>
      </c>
      <c r="I220" s="0" t="n">
        <v>0.104033</v>
      </c>
      <c r="K220" s="0" t="s">
        <v>11</v>
      </c>
      <c r="L220" s="0" t="n">
        <v>5</v>
      </c>
      <c r="M220" s="0" t="n">
        <v>100</v>
      </c>
      <c r="N220" s="0" t="n">
        <v>2000</v>
      </c>
      <c r="O220" s="4" t="n">
        <f aca="false">(E220+E237+E254)/3</f>
        <v>9.01</v>
      </c>
      <c r="P220" s="3" t="n">
        <f aca="false">(N220/O220)</f>
        <v>221.975582685905</v>
      </c>
      <c r="Q220" s="4" t="n">
        <f aca="false">(G220+G237+G254)/3</f>
        <v>4.44433333333333</v>
      </c>
      <c r="R220" s="5" t="n">
        <f aca="false">(H220+H237+H254)/3</f>
        <v>0.325331333333333</v>
      </c>
      <c r="S220" s="5" t="n">
        <f aca="false">(I220+I237+I254)/3</f>
        <v>0.104030333333333</v>
      </c>
    </row>
    <row r="221" customFormat="false" ht="12.8" hidden="false" customHeight="false" outlineLevel="0" collapsed="false">
      <c r="A221" s="0" t="s">
        <v>11</v>
      </c>
      <c r="B221" s="0" t="n">
        <v>5</v>
      </c>
      <c r="C221" s="0" t="n">
        <v>100</v>
      </c>
      <c r="D221" s="0" t="n">
        <v>3000</v>
      </c>
      <c r="E221" s="0" t="n">
        <v>14.86</v>
      </c>
      <c r="G221" s="0" t="n">
        <v>6.52</v>
      </c>
      <c r="H221" s="0" t="n">
        <v>0.487997</v>
      </c>
      <c r="I221" s="0" t="n">
        <v>0.15602</v>
      </c>
      <c r="K221" s="0" t="s">
        <v>11</v>
      </c>
      <c r="L221" s="0" t="n">
        <v>5</v>
      </c>
      <c r="M221" s="0" t="n">
        <v>100</v>
      </c>
      <c r="N221" s="0" t="n">
        <v>3000</v>
      </c>
      <c r="O221" s="4" t="n">
        <f aca="false">(E221+E238+E255)/3</f>
        <v>14.7586666666667</v>
      </c>
      <c r="P221" s="3" t="n">
        <f aca="false">(N221/O221)</f>
        <v>203.270394796278</v>
      </c>
      <c r="Q221" s="4" t="n">
        <f aca="false">(G221+G238+G255)/3</f>
        <v>6.67066666666667</v>
      </c>
      <c r="R221" s="5" t="n">
        <f aca="false">(H221+H238+H255)/3</f>
        <v>0.487997</v>
      </c>
      <c r="S221" s="5" t="n">
        <f aca="false">(I221+I238+I255)/3</f>
        <v>0.156039666666667</v>
      </c>
    </row>
    <row r="222" customFormat="false" ht="12.8" hidden="false" customHeight="false" outlineLevel="0" collapsed="false">
      <c r="A222" s="0" t="s">
        <v>0</v>
      </c>
      <c r="B222" s="0" t="s">
        <v>1</v>
      </c>
      <c r="C222" s="0" t="s">
        <v>2</v>
      </c>
      <c r="D222" s="0" t="s">
        <v>3</v>
      </c>
      <c r="E222" s="0" t="s">
        <v>4</v>
      </c>
      <c r="G222" s="0" t="s">
        <v>6</v>
      </c>
      <c r="H222" s="0" t="s">
        <v>7</v>
      </c>
      <c r="I222" s="0" t="s">
        <v>8</v>
      </c>
    </row>
    <row r="223" customFormat="false" ht="12.8" hidden="false" customHeight="false" outlineLevel="0" collapsed="false">
      <c r="A223" s="0" t="s">
        <v>11</v>
      </c>
      <c r="B223" s="0" t="n">
        <v>5</v>
      </c>
      <c r="C223" s="0" t="n">
        <v>100</v>
      </c>
      <c r="D223" s="0" t="n">
        <v>10</v>
      </c>
      <c r="E223" s="0" t="n">
        <v>0.837</v>
      </c>
      <c r="G223" s="0" t="n">
        <v>0.627</v>
      </c>
      <c r="H223" s="0" t="n">
        <v>0.001661</v>
      </c>
      <c r="I223" s="0" t="n">
        <v>0.000534</v>
      </c>
    </row>
    <row r="224" customFormat="false" ht="12.8" hidden="false" customHeight="false" outlineLevel="0" collapsed="false">
      <c r="A224" s="0" t="s">
        <v>11</v>
      </c>
      <c r="B224" s="0" t="n">
        <v>5</v>
      </c>
      <c r="C224" s="0" t="n">
        <v>100</v>
      </c>
      <c r="D224" s="0" t="n">
        <v>15</v>
      </c>
      <c r="E224" s="0" t="n">
        <v>1.019</v>
      </c>
      <c r="G224" s="0" t="n">
        <v>0.825</v>
      </c>
      <c r="H224" s="0" t="n">
        <v>0.00244</v>
      </c>
      <c r="I224" s="0" t="n">
        <v>0.000784</v>
      </c>
    </row>
    <row r="225" customFormat="false" ht="12.8" hidden="false" customHeight="false" outlineLevel="0" collapsed="false">
      <c r="A225" s="0" t="s">
        <v>11</v>
      </c>
      <c r="B225" s="0" t="n">
        <v>5</v>
      </c>
      <c r="C225" s="0" t="n">
        <v>100</v>
      </c>
      <c r="D225" s="0" t="n">
        <v>20</v>
      </c>
      <c r="E225" s="0" t="n">
        <v>0.985</v>
      </c>
      <c r="G225" s="0" t="n">
        <v>0.778</v>
      </c>
      <c r="H225" s="0" t="n">
        <v>0.003253</v>
      </c>
      <c r="I225" s="0" t="n">
        <v>0.001039</v>
      </c>
    </row>
    <row r="226" customFormat="false" ht="12.8" hidden="false" customHeight="false" outlineLevel="0" collapsed="false">
      <c r="A226" s="0" t="s">
        <v>11</v>
      </c>
      <c r="B226" s="0" t="n">
        <v>5</v>
      </c>
      <c r="C226" s="0" t="n">
        <v>100</v>
      </c>
      <c r="D226" s="0" t="n">
        <v>25</v>
      </c>
      <c r="E226" s="0" t="n">
        <v>1.124</v>
      </c>
      <c r="G226" s="0" t="n">
        <v>0.914</v>
      </c>
      <c r="H226" s="0" t="n">
        <v>0.004067</v>
      </c>
      <c r="I226" s="0" t="n">
        <v>0.001304</v>
      </c>
    </row>
    <row r="227" customFormat="false" ht="12.8" hidden="false" customHeight="false" outlineLevel="0" collapsed="false">
      <c r="A227" s="0" t="s">
        <v>11</v>
      </c>
      <c r="B227" s="0" t="n">
        <v>5</v>
      </c>
      <c r="C227" s="0" t="n">
        <v>100</v>
      </c>
      <c r="D227" s="0" t="n">
        <v>50</v>
      </c>
      <c r="E227" s="0" t="n">
        <v>1.129</v>
      </c>
      <c r="G227" s="0" t="n">
        <v>0.914</v>
      </c>
      <c r="H227" s="0" t="n">
        <v>0.008133</v>
      </c>
      <c r="I227" s="0" t="n">
        <v>0.002604</v>
      </c>
    </row>
    <row r="228" customFormat="false" ht="12.8" hidden="false" customHeight="false" outlineLevel="0" collapsed="false">
      <c r="A228" s="0" t="s">
        <v>11</v>
      </c>
      <c r="B228" s="0" t="n">
        <v>5</v>
      </c>
      <c r="C228" s="0" t="n">
        <v>100</v>
      </c>
      <c r="D228" s="0" t="n">
        <v>75</v>
      </c>
      <c r="E228" s="0" t="n">
        <v>1.64</v>
      </c>
      <c r="G228" s="0" t="n">
        <v>1.386</v>
      </c>
      <c r="H228" s="0" t="n">
        <v>0.0122</v>
      </c>
      <c r="I228" s="0" t="n">
        <v>0.003883</v>
      </c>
    </row>
    <row r="229" customFormat="false" ht="12.8" hidden="false" customHeight="false" outlineLevel="0" collapsed="false">
      <c r="A229" s="0" t="s">
        <v>11</v>
      </c>
      <c r="B229" s="0" t="n">
        <v>5</v>
      </c>
      <c r="C229" s="0" t="n">
        <v>100</v>
      </c>
      <c r="D229" s="0" t="n">
        <v>100</v>
      </c>
      <c r="E229" s="0" t="n">
        <v>1.512</v>
      </c>
      <c r="G229" s="0" t="n">
        <v>1.279</v>
      </c>
      <c r="H229" s="0" t="n">
        <v>0.016266</v>
      </c>
      <c r="I229" s="0" t="n">
        <v>0.005186</v>
      </c>
    </row>
    <row r="230" customFormat="false" ht="12.8" hidden="false" customHeight="false" outlineLevel="0" collapsed="false">
      <c r="A230" s="0" t="s">
        <v>11</v>
      </c>
      <c r="B230" s="0" t="n">
        <v>5</v>
      </c>
      <c r="C230" s="0" t="n">
        <v>100</v>
      </c>
      <c r="D230" s="0" t="n">
        <v>150</v>
      </c>
      <c r="E230" s="0" t="n">
        <v>1.634</v>
      </c>
      <c r="G230" s="0" t="n">
        <v>1.17</v>
      </c>
      <c r="H230" s="0" t="n">
        <v>0.0244</v>
      </c>
      <c r="I230" s="0" t="n">
        <v>0.007788</v>
      </c>
    </row>
    <row r="231" customFormat="false" ht="12.8" hidden="false" customHeight="false" outlineLevel="0" collapsed="false">
      <c r="A231" s="0" t="s">
        <v>11</v>
      </c>
      <c r="B231" s="0" t="n">
        <v>5</v>
      </c>
      <c r="C231" s="0" t="n">
        <v>100</v>
      </c>
      <c r="D231" s="0" t="n">
        <v>200</v>
      </c>
      <c r="E231" s="0" t="n">
        <v>1.798</v>
      </c>
      <c r="G231" s="0" t="n">
        <v>1.253</v>
      </c>
      <c r="H231" s="0" t="n">
        <v>0.032533</v>
      </c>
      <c r="I231" s="0" t="n">
        <v>0.010397</v>
      </c>
    </row>
    <row r="232" customFormat="false" ht="12.8" hidden="false" customHeight="false" outlineLevel="0" collapsed="false">
      <c r="A232" s="0" t="s">
        <v>11</v>
      </c>
      <c r="B232" s="0" t="n">
        <v>5</v>
      </c>
      <c r="C232" s="0" t="n">
        <v>100</v>
      </c>
      <c r="D232" s="0" t="n">
        <v>250</v>
      </c>
      <c r="E232" s="0" t="n">
        <v>1.586</v>
      </c>
      <c r="G232" s="0" t="n">
        <v>1.031</v>
      </c>
      <c r="H232" s="0" t="n">
        <v>0.040666</v>
      </c>
      <c r="I232" s="0" t="n">
        <v>0.012999</v>
      </c>
    </row>
    <row r="233" customFormat="false" ht="12.8" hidden="false" customHeight="false" outlineLevel="0" collapsed="false">
      <c r="A233" s="0" t="s">
        <v>11</v>
      </c>
      <c r="B233" s="0" t="n">
        <v>5</v>
      </c>
      <c r="C233" s="0" t="n">
        <v>100</v>
      </c>
      <c r="D233" s="0" t="n">
        <v>500</v>
      </c>
      <c r="E233" s="0" t="n">
        <v>2.746</v>
      </c>
      <c r="G233" s="0" t="n">
        <v>1.557</v>
      </c>
      <c r="H233" s="0" t="n">
        <v>0.081333</v>
      </c>
      <c r="I233" s="0" t="n">
        <v>0.026015</v>
      </c>
    </row>
    <row r="234" customFormat="false" ht="12.8" hidden="false" customHeight="false" outlineLevel="0" collapsed="false">
      <c r="A234" s="0" t="s">
        <v>11</v>
      </c>
      <c r="B234" s="0" t="n">
        <v>5</v>
      </c>
      <c r="C234" s="0" t="n">
        <v>100</v>
      </c>
      <c r="D234" s="0" t="n">
        <v>750</v>
      </c>
      <c r="E234" s="0" t="n">
        <v>3.444</v>
      </c>
      <c r="G234" s="0" t="n">
        <v>1.837</v>
      </c>
      <c r="H234" s="0" t="n">
        <v>0.121999</v>
      </c>
      <c r="I234" s="0" t="n">
        <v>0.038968</v>
      </c>
    </row>
    <row r="235" customFormat="false" ht="12.8" hidden="false" customHeight="false" outlineLevel="0" collapsed="false">
      <c r="A235" s="0" t="s">
        <v>11</v>
      </c>
      <c r="B235" s="0" t="n">
        <v>5</v>
      </c>
      <c r="C235" s="0" t="n">
        <v>100</v>
      </c>
      <c r="D235" s="0" t="n">
        <v>1000</v>
      </c>
      <c r="E235" s="0" t="n">
        <v>4.295</v>
      </c>
      <c r="G235" s="0" t="n">
        <v>2.477</v>
      </c>
      <c r="H235" s="0" t="n">
        <v>0.162666</v>
      </c>
      <c r="I235" s="0" t="n">
        <v>0.051967</v>
      </c>
    </row>
    <row r="236" customFormat="false" ht="12.8" hidden="false" customHeight="false" outlineLevel="0" collapsed="false">
      <c r="A236" s="0" t="s">
        <v>11</v>
      </c>
      <c r="B236" s="0" t="n">
        <v>5</v>
      </c>
      <c r="C236" s="0" t="n">
        <v>100</v>
      </c>
      <c r="D236" s="0" t="n">
        <v>1500</v>
      </c>
      <c r="E236" s="0" t="n">
        <v>7.231</v>
      </c>
      <c r="G236" s="0" t="n">
        <v>4.082</v>
      </c>
      <c r="H236" s="0" t="n">
        <v>0.243998</v>
      </c>
      <c r="I236" s="0" t="n">
        <v>0.077974</v>
      </c>
    </row>
    <row r="237" customFormat="false" ht="12.8" hidden="false" customHeight="false" outlineLevel="0" collapsed="false">
      <c r="A237" s="0" t="s">
        <v>11</v>
      </c>
      <c r="B237" s="0" t="n">
        <v>5</v>
      </c>
      <c r="C237" s="0" t="n">
        <v>100</v>
      </c>
      <c r="D237" s="0" t="n">
        <v>2000</v>
      </c>
      <c r="E237" s="0" t="n">
        <v>8.939</v>
      </c>
      <c r="G237" s="0" t="n">
        <v>4.618</v>
      </c>
      <c r="H237" s="0" t="n">
        <v>0.32533</v>
      </c>
      <c r="I237" s="0" t="n">
        <v>0.103994</v>
      </c>
    </row>
    <row r="238" customFormat="false" ht="12.8" hidden="false" customHeight="false" outlineLevel="0" collapsed="false">
      <c r="A238" s="0" t="s">
        <v>11</v>
      </c>
      <c r="B238" s="0" t="n">
        <v>5</v>
      </c>
      <c r="C238" s="0" t="n">
        <v>100</v>
      </c>
      <c r="D238" s="0" t="n">
        <v>3000</v>
      </c>
      <c r="E238" s="0" t="n">
        <v>15.719</v>
      </c>
      <c r="G238" s="0" t="n">
        <v>7.292</v>
      </c>
      <c r="H238" s="0" t="n">
        <v>0.487997</v>
      </c>
      <c r="I238" s="0" t="n">
        <v>0.156017</v>
      </c>
    </row>
    <row r="239" customFormat="false" ht="12.8" hidden="false" customHeight="false" outlineLevel="0" collapsed="false">
      <c r="A239" s="0" t="s">
        <v>0</v>
      </c>
      <c r="B239" s="0" t="s">
        <v>1</v>
      </c>
      <c r="C239" s="0" t="s">
        <v>2</v>
      </c>
      <c r="D239" s="0" t="s">
        <v>3</v>
      </c>
      <c r="E239" s="0" t="s">
        <v>4</v>
      </c>
      <c r="G239" s="0" t="s">
        <v>6</v>
      </c>
      <c r="H239" s="0" t="s">
        <v>7</v>
      </c>
      <c r="I239" s="0" t="s">
        <v>8</v>
      </c>
    </row>
    <row r="240" customFormat="false" ht="12.8" hidden="false" customHeight="false" outlineLevel="0" collapsed="false">
      <c r="A240" s="0" t="s">
        <v>11</v>
      </c>
      <c r="B240" s="0" t="n">
        <v>5</v>
      </c>
      <c r="C240" s="0" t="n">
        <v>100</v>
      </c>
      <c r="D240" s="0" t="n">
        <v>10</v>
      </c>
      <c r="E240" s="0" t="n">
        <v>0.861</v>
      </c>
      <c r="G240" s="0" t="n">
        <v>0.639</v>
      </c>
      <c r="H240" s="0" t="n">
        <v>0.001661</v>
      </c>
      <c r="I240" s="0" t="n">
        <v>0.000534</v>
      </c>
    </row>
    <row r="241" customFormat="false" ht="12.8" hidden="false" customHeight="false" outlineLevel="0" collapsed="false">
      <c r="A241" s="0" t="s">
        <v>11</v>
      </c>
      <c r="B241" s="0" t="n">
        <v>5</v>
      </c>
      <c r="C241" s="0" t="n">
        <v>100</v>
      </c>
      <c r="D241" s="0" t="n">
        <v>15</v>
      </c>
      <c r="E241" s="0" t="n">
        <v>0.781</v>
      </c>
      <c r="G241" s="0" t="n">
        <v>0.585</v>
      </c>
      <c r="H241" s="0" t="n">
        <v>0.00244</v>
      </c>
      <c r="I241" s="0" t="n">
        <v>0.000781</v>
      </c>
    </row>
    <row r="242" customFormat="false" ht="12.8" hidden="false" customHeight="false" outlineLevel="0" collapsed="false">
      <c r="A242" s="0" t="s">
        <v>11</v>
      </c>
      <c r="B242" s="0" t="n">
        <v>5</v>
      </c>
      <c r="C242" s="0" t="n">
        <v>100</v>
      </c>
      <c r="D242" s="0" t="n">
        <v>20</v>
      </c>
      <c r="E242" s="0" t="n">
        <v>0.972</v>
      </c>
      <c r="G242" s="0" t="n">
        <v>0.789</v>
      </c>
      <c r="H242" s="0" t="n">
        <v>0.003253</v>
      </c>
      <c r="I242" s="0" t="n">
        <v>0.001037</v>
      </c>
    </row>
    <row r="243" customFormat="false" ht="12.8" hidden="false" customHeight="false" outlineLevel="0" collapsed="false">
      <c r="A243" s="0" t="s">
        <v>11</v>
      </c>
      <c r="B243" s="0" t="n">
        <v>5</v>
      </c>
      <c r="C243" s="0" t="n">
        <v>100</v>
      </c>
      <c r="D243" s="0" t="n">
        <v>25</v>
      </c>
      <c r="E243" s="0" t="n">
        <v>0.964</v>
      </c>
      <c r="G243" s="0" t="n">
        <v>0.774</v>
      </c>
      <c r="H243" s="0" t="n">
        <v>0.004067</v>
      </c>
      <c r="I243" s="0" t="n">
        <v>0.001292</v>
      </c>
    </row>
    <row r="244" customFormat="false" ht="12.8" hidden="false" customHeight="false" outlineLevel="0" collapsed="false">
      <c r="A244" s="0" t="s">
        <v>11</v>
      </c>
      <c r="B244" s="0" t="n">
        <v>5</v>
      </c>
      <c r="C244" s="0" t="n">
        <v>100</v>
      </c>
      <c r="D244" s="0" t="n">
        <v>50</v>
      </c>
      <c r="E244" s="0" t="n">
        <v>1.009</v>
      </c>
      <c r="G244" s="0" t="n">
        <v>0.78</v>
      </c>
      <c r="H244" s="0" t="n">
        <v>0.008133</v>
      </c>
      <c r="I244" s="0" t="n">
        <v>0.002602</v>
      </c>
    </row>
    <row r="245" customFormat="false" ht="12.8" hidden="false" customHeight="false" outlineLevel="0" collapsed="false">
      <c r="A245" s="0" t="s">
        <v>11</v>
      </c>
      <c r="B245" s="0" t="n">
        <v>5</v>
      </c>
      <c r="C245" s="0" t="n">
        <v>100</v>
      </c>
      <c r="D245" s="0" t="n">
        <v>75</v>
      </c>
      <c r="E245" s="0" t="n">
        <v>1.678</v>
      </c>
      <c r="G245" s="0" t="n">
        <v>1.311</v>
      </c>
      <c r="H245" s="0" t="n">
        <v>0.0122</v>
      </c>
      <c r="I245" s="0" t="n">
        <v>0.003899</v>
      </c>
    </row>
    <row r="246" customFormat="false" ht="12.8" hidden="false" customHeight="false" outlineLevel="0" collapsed="false">
      <c r="A246" s="0" t="s">
        <v>11</v>
      </c>
      <c r="B246" s="0" t="n">
        <v>5</v>
      </c>
      <c r="C246" s="0" t="n">
        <v>100</v>
      </c>
      <c r="D246" s="0" t="n">
        <v>100</v>
      </c>
      <c r="E246" s="0" t="n">
        <v>1.858</v>
      </c>
      <c r="G246" s="0" t="n">
        <v>1.452</v>
      </c>
      <c r="H246" s="0" t="n">
        <v>0.016267</v>
      </c>
      <c r="I246" s="0" t="n">
        <v>0.005194</v>
      </c>
    </row>
    <row r="247" customFormat="false" ht="12.8" hidden="false" customHeight="false" outlineLevel="0" collapsed="false">
      <c r="A247" s="0" t="s">
        <v>11</v>
      </c>
      <c r="B247" s="0" t="n">
        <v>5</v>
      </c>
      <c r="C247" s="0" t="n">
        <v>100</v>
      </c>
      <c r="D247" s="0" t="n">
        <v>150</v>
      </c>
      <c r="E247" s="0" t="n">
        <v>1.836</v>
      </c>
      <c r="G247" s="0" t="n">
        <v>1.423</v>
      </c>
      <c r="H247" s="0" t="n">
        <v>0.0244</v>
      </c>
      <c r="I247" s="0" t="n">
        <v>0.007799</v>
      </c>
    </row>
    <row r="248" customFormat="false" ht="12.8" hidden="false" customHeight="false" outlineLevel="0" collapsed="false">
      <c r="A248" s="0" t="s">
        <v>11</v>
      </c>
      <c r="B248" s="0" t="n">
        <v>5</v>
      </c>
      <c r="C248" s="0" t="n">
        <v>100</v>
      </c>
      <c r="D248" s="0" t="n">
        <v>200</v>
      </c>
      <c r="E248" s="0" t="n">
        <v>1.854</v>
      </c>
      <c r="G248" s="0" t="n">
        <v>1.409</v>
      </c>
      <c r="H248" s="0" t="n">
        <v>0.032533</v>
      </c>
      <c r="I248" s="0" t="n">
        <v>0.010392</v>
      </c>
    </row>
    <row r="249" customFormat="false" ht="12.8" hidden="false" customHeight="false" outlineLevel="0" collapsed="false">
      <c r="A249" s="0" t="s">
        <v>11</v>
      </c>
      <c r="B249" s="0" t="n">
        <v>5</v>
      </c>
      <c r="C249" s="0" t="n">
        <v>100</v>
      </c>
      <c r="D249" s="0" t="n">
        <v>250</v>
      </c>
      <c r="E249" s="0" t="n">
        <v>1.748</v>
      </c>
      <c r="G249" s="0" t="n">
        <v>1.132</v>
      </c>
      <c r="H249" s="0" t="n">
        <v>0.040666</v>
      </c>
      <c r="I249" s="0" t="n">
        <v>0.012999</v>
      </c>
    </row>
    <row r="250" customFormat="false" ht="12.8" hidden="false" customHeight="false" outlineLevel="0" collapsed="false">
      <c r="A250" s="0" t="s">
        <v>11</v>
      </c>
      <c r="B250" s="0" t="n">
        <v>5</v>
      </c>
      <c r="C250" s="0" t="n">
        <v>100</v>
      </c>
      <c r="D250" s="0" t="n">
        <v>500</v>
      </c>
      <c r="E250" s="0" t="n">
        <v>2.49</v>
      </c>
      <c r="G250" s="0" t="n">
        <v>1.381</v>
      </c>
      <c r="H250" s="0" t="n">
        <v>0.081333</v>
      </c>
      <c r="I250" s="0" t="n">
        <v>0.025987</v>
      </c>
    </row>
    <row r="251" customFormat="false" ht="12.8" hidden="false" customHeight="false" outlineLevel="0" collapsed="false">
      <c r="A251" s="0" t="s">
        <v>11</v>
      </c>
      <c r="B251" s="0" t="n">
        <v>5</v>
      </c>
      <c r="C251" s="0" t="n">
        <v>100</v>
      </c>
      <c r="D251" s="0" t="n">
        <v>750</v>
      </c>
      <c r="E251" s="0" t="n">
        <v>3.017</v>
      </c>
      <c r="G251" s="0" t="n">
        <v>1.566</v>
      </c>
      <c r="H251" s="0" t="n">
        <v>0.121999</v>
      </c>
      <c r="I251" s="0" t="n">
        <v>0.039019</v>
      </c>
    </row>
    <row r="252" customFormat="false" ht="12.8" hidden="false" customHeight="false" outlineLevel="0" collapsed="false">
      <c r="A252" s="0" t="s">
        <v>11</v>
      </c>
      <c r="B252" s="0" t="n">
        <v>5</v>
      </c>
      <c r="C252" s="0" t="n">
        <v>100</v>
      </c>
      <c r="D252" s="0" t="n">
        <v>1000</v>
      </c>
      <c r="E252" s="0" t="n">
        <v>4.292</v>
      </c>
      <c r="G252" s="0" t="n">
        <v>2.348</v>
      </c>
      <c r="H252" s="0" t="n">
        <v>0.162666</v>
      </c>
      <c r="I252" s="0" t="n">
        <v>0.05199</v>
      </c>
    </row>
    <row r="253" customFormat="false" ht="12.8" hidden="false" customHeight="false" outlineLevel="0" collapsed="false">
      <c r="A253" s="0" t="s">
        <v>11</v>
      </c>
      <c r="B253" s="0" t="n">
        <v>5</v>
      </c>
      <c r="C253" s="0" t="n">
        <v>100</v>
      </c>
      <c r="D253" s="0" t="n">
        <v>1500</v>
      </c>
      <c r="E253" s="0" t="n">
        <v>6.783</v>
      </c>
      <c r="G253" s="0" t="n">
        <v>3.719</v>
      </c>
      <c r="H253" s="0" t="n">
        <v>0.243998</v>
      </c>
      <c r="I253" s="0" t="n">
        <v>0.078019</v>
      </c>
    </row>
    <row r="254" customFormat="false" ht="12.8" hidden="false" customHeight="false" outlineLevel="0" collapsed="false">
      <c r="A254" s="0" t="s">
        <v>11</v>
      </c>
      <c r="B254" s="0" t="n">
        <v>5</v>
      </c>
      <c r="C254" s="0" t="n">
        <v>100</v>
      </c>
      <c r="D254" s="0" t="n">
        <v>2000</v>
      </c>
      <c r="E254" s="0" t="n">
        <v>8.941</v>
      </c>
      <c r="G254" s="0" t="n">
        <v>4.179</v>
      </c>
      <c r="H254" s="0" t="n">
        <v>0.325332</v>
      </c>
      <c r="I254" s="0" t="n">
        <v>0.104064</v>
      </c>
    </row>
    <row r="255" customFormat="false" ht="12.8" hidden="false" customHeight="false" outlineLevel="0" collapsed="false">
      <c r="A255" s="0" t="s">
        <v>11</v>
      </c>
      <c r="B255" s="0" t="n">
        <v>5</v>
      </c>
      <c r="C255" s="0" t="n">
        <v>100</v>
      </c>
      <c r="D255" s="0" t="n">
        <v>3000</v>
      </c>
      <c r="E255" s="0" t="n">
        <v>13.697</v>
      </c>
      <c r="G255" s="0" t="n">
        <v>6.2</v>
      </c>
      <c r="H255" s="0" t="n">
        <v>0.487997</v>
      </c>
      <c r="I255" s="0" t="n">
        <v>0.156082</v>
      </c>
    </row>
    <row r="256" customFormat="false" ht="12.8" hidden="false" customHeight="false" outlineLevel="0" collapsed="false">
      <c r="A256" s="0" t="s">
        <v>0</v>
      </c>
      <c r="B256" s="0" t="s">
        <v>1</v>
      </c>
      <c r="C256" s="0" t="s">
        <v>2</v>
      </c>
      <c r="D256" s="0" t="s">
        <v>3</v>
      </c>
      <c r="E256" s="0" t="s">
        <v>4</v>
      </c>
      <c r="G256" s="0" t="s">
        <v>6</v>
      </c>
      <c r="H256" s="0" t="s">
        <v>7</v>
      </c>
      <c r="I256" s="0" t="s">
        <v>8</v>
      </c>
      <c r="K256" s="0" t="s">
        <v>0</v>
      </c>
      <c r="L256" s="0" t="s">
        <v>1</v>
      </c>
      <c r="M256" s="0" t="s">
        <v>2</v>
      </c>
      <c r="N256" s="0" t="s">
        <v>3</v>
      </c>
      <c r="O256" s="0" t="s">
        <v>4</v>
      </c>
      <c r="P256" s="0" t="s">
        <v>5</v>
      </c>
      <c r="Q256" s="0" t="s">
        <v>6</v>
      </c>
      <c r="R256" s="0" t="s">
        <v>7</v>
      </c>
      <c r="S256" s="0" t="s">
        <v>8</v>
      </c>
    </row>
    <row r="257" customFormat="false" ht="12.8" hidden="false" customHeight="false" outlineLevel="0" collapsed="false">
      <c r="A257" s="0" t="s">
        <v>12</v>
      </c>
      <c r="B257" s="0" t="n">
        <v>5</v>
      </c>
      <c r="C257" s="0" t="n">
        <v>100</v>
      </c>
      <c r="D257" s="0" t="n">
        <v>10</v>
      </c>
      <c r="E257" s="0" t="n">
        <v>0.891</v>
      </c>
      <c r="G257" s="0" t="n">
        <v>0.686</v>
      </c>
      <c r="H257" s="0" t="n">
        <v>0.001661</v>
      </c>
      <c r="I257" s="0" t="n">
        <v>0.000537</v>
      </c>
      <c r="K257" s="0" t="s">
        <v>12</v>
      </c>
      <c r="L257" s="0" t="n">
        <v>5</v>
      </c>
      <c r="M257" s="0" t="n">
        <v>100</v>
      </c>
      <c r="N257" s="0" t="n">
        <v>10</v>
      </c>
      <c r="O257" s="4" t="n">
        <f aca="false">(E257+E274+E291)/3</f>
        <v>0.877333333333333</v>
      </c>
      <c r="P257" s="3" t="n">
        <f aca="false">(N257/O257)</f>
        <v>11.3981762917933</v>
      </c>
      <c r="Q257" s="4" t="n">
        <f aca="false">(G257+G274+G291)/3</f>
        <v>0.695666666666667</v>
      </c>
      <c r="R257" s="5" t="n">
        <f aca="false">(H257+H274+H291)/3</f>
        <v>0.001661</v>
      </c>
      <c r="S257" s="5" t="n">
        <f aca="false">(I257+I274+I291)/3</f>
        <v>0.000538</v>
      </c>
    </row>
    <row r="258" customFormat="false" ht="12.8" hidden="false" customHeight="false" outlineLevel="0" collapsed="false">
      <c r="A258" s="0" t="s">
        <v>12</v>
      </c>
      <c r="B258" s="0" t="n">
        <v>5</v>
      </c>
      <c r="C258" s="0" t="n">
        <v>100</v>
      </c>
      <c r="D258" s="0" t="n">
        <v>15</v>
      </c>
      <c r="E258" s="0" t="n">
        <v>0.847</v>
      </c>
      <c r="G258" s="0" t="n">
        <v>0.658</v>
      </c>
      <c r="H258" s="0" t="n">
        <v>0.00244</v>
      </c>
      <c r="I258" s="0" t="n">
        <v>0.000775</v>
      </c>
      <c r="K258" s="0" t="s">
        <v>12</v>
      </c>
      <c r="L258" s="0" t="n">
        <v>5</v>
      </c>
      <c r="M258" s="0" t="n">
        <v>100</v>
      </c>
      <c r="N258" s="0" t="n">
        <v>15</v>
      </c>
      <c r="O258" s="4" t="n">
        <f aca="false">(E258+E275+E292)/3</f>
        <v>0.851</v>
      </c>
      <c r="P258" s="3" t="n">
        <f aca="false">(N258/O258)</f>
        <v>17.6263219741481</v>
      </c>
      <c r="Q258" s="4" t="n">
        <f aca="false">(G258+G275+G292)/3</f>
        <v>0.671666666666667</v>
      </c>
      <c r="R258" s="5" t="n">
        <f aca="false">(H258+H275+H292)/3</f>
        <v>0.00244</v>
      </c>
      <c r="S258" s="5" t="n">
        <f aca="false">(I258+I275+I292)/3</f>
        <v>0.000778</v>
      </c>
    </row>
    <row r="259" customFormat="false" ht="12.8" hidden="false" customHeight="false" outlineLevel="0" collapsed="false">
      <c r="A259" s="0" t="s">
        <v>12</v>
      </c>
      <c r="B259" s="0" t="n">
        <v>5</v>
      </c>
      <c r="C259" s="0" t="n">
        <v>100</v>
      </c>
      <c r="D259" s="0" t="n">
        <v>20</v>
      </c>
      <c r="E259" s="0" t="n">
        <v>0.788</v>
      </c>
      <c r="G259" s="0" t="n">
        <v>0.595</v>
      </c>
      <c r="H259" s="0" t="n">
        <v>0.003253</v>
      </c>
      <c r="I259" s="0" t="n">
        <v>0.001045</v>
      </c>
      <c r="K259" s="0" t="s">
        <v>12</v>
      </c>
      <c r="L259" s="0" t="n">
        <v>5</v>
      </c>
      <c r="M259" s="0" t="n">
        <v>100</v>
      </c>
      <c r="N259" s="0" t="n">
        <v>20</v>
      </c>
      <c r="O259" s="4" t="n">
        <f aca="false">(E259+E276+E293)/3</f>
        <v>0.823333333333333</v>
      </c>
      <c r="P259" s="3" t="n">
        <f aca="false">(N259/O259)</f>
        <v>24.2914979757085</v>
      </c>
      <c r="Q259" s="4" t="n">
        <f aca="false">(G259+G276+G293)/3</f>
        <v>0.622</v>
      </c>
      <c r="R259" s="5" t="n">
        <f aca="false">(H259+H276+H293)/3</f>
        <v>0.003253</v>
      </c>
      <c r="S259" s="5" t="n">
        <f aca="false">(I259+I276+I293)/3</f>
        <v>0.00103866666666667</v>
      </c>
    </row>
    <row r="260" customFormat="false" ht="12.8" hidden="false" customHeight="false" outlineLevel="0" collapsed="false">
      <c r="A260" s="0" t="s">
        <v>12</v>
      </c>
      <c r="B260" s="0" t="n">
        <v>5</v>
      </c>
      <c r="C260" s="0" t="n">
        <v>100</v>
      </c>
      <c r="D260" s="0" t="n">
        <v>25</v>
      </c>
      <c r="E260" s="0" t="n">
        <v>0.649</v>
      </c>
      <c r="G260" s="0" t="n">
        <v>0.492</v>
      </c>
      <c r="H260" s="0" t="n">
        <v>0.004067</v>
      </c>
      <c r="I260" s="0" t="n">
        <v>0.001298</v>
      </c>
      <c r="K260" s="0" t="s">
        <v>12</v>
      </c>
      <c r="L260" s="0" t="n">
        <v>5</v>
      </c>
      <c r="M260" s="0" t="n">
        <v>100</v>
      </c>
      <c r="N260" s="0" t="n">
        <v>25</v>
      </c>
      <c r="O260" s="4" t="n">
        <f aca="false">(E260+E277+E294)/3</f>
        <v>0.746666666666667</v>
      </c>
      <c r="P260" s="3" t="n">
        <f aca="false">(N260/O260)</f>
        <v>33.4821428571429</v>
      </c>
      <c r="Q260" s="4" t="n">
        <f aca="false">(G260+G277+G294)/3</f>
        <v>0.572333333333333</v>
      </c>
      <c r="R260" s="5" t="n">
        <f aca="false">(H260+H277+H294)/3</f>
        <v>0.004067</v>
      </c>
      <c r="S260" s="5" t="n">
        <f aca="false">(I260+I277+I294)/3</f>
        <v>0.00130266666666667</v>
      </c>
    </row>
    <row r="261" customFormat="false" ht="12.8" hidden="false" customHeight="false" outlineLevel="0" collapsed="false">
      <c r="A261" s="0" t="s">
        <v>12</v>
      </c>
      <c r="B261" s="0" t="n">
        <v>5</v>
      </c>
      <c r="C261" s="0" t="n">
        <v>100</v>
      </c>
      <c r="D261" s="0" t="n">
        <v>50</v>
      </c>
      <c r="E261" s="0" t="n">
        <v>0.858</v>
      </c>
      <c r="G261" s="0" t="n">
        <v>0.67</v>
      </c>
      <c r="H261" s="0" t="n">
        <v>0.008133</v>
      </c>
      <c r="I261" s="0" t="n">
        <v>0.002607</v>
      </c>
      <c r="K261" s="0" t="s">
        <v>12</v>
      </c>
      <c r="L261" s="0" t="n">
        <v>5</v>
      </c>
      <c r="M261" s="0" t="n">
        <v>100</v>
      </c>
      <c r="N261" s="0" t="n">
        <v>50</v>
      </c>
      <c r="O261" s="4" t="n">
        <f aca="false">(E261+E278+E295)/3</f>
        <v>0.818333333333333</v>
      </c>
      <c r="P261" s="3" t="n">
        <f aca="false">(N261/O261)</f>
        <v>61.0997963340122</v>
      </c>
      <c r="Q261" s="4" t="n">
        <f aca="false">(G261+G278+G295)/3</f>
        <v>0.605</v>
      </c>
      <c r="R261" s="5" t="n">
        <f aca="false">(H261+H278+H295)/3</f>
        <v>0.008133</v>
      </c>
      <c r="S261" s="5" t="n">
        <f aca="false">(I261+I278+I295)/3</f>
        <v>0.00260066666666667</v>
      </c>
    </row>
    <row r="262" customFormat="false" ht="12.8" hidden="false" customHeight="false" outlineLevel="0" collapsed="false">
      <c r="A262" s="0" t="s">
        <v>12</v>
      </c>
      <c r="B262" s="0" t="n">
        <v>5</v>
      </c>
      <c r="C262" s="0" t="n">
        <v>100</v>
      </c>
      <c r="D262" s="0" t="n">
        <v>75</v>
      </c>
      <c r="E262" s="0" t="n">
        <v>0.849</v>
      </c>
      <c r="G262" s="0" t="n">
        <v>0.643</v>
      </c>
      <c r="H262" s="0" t="n">
        <v>0.0122</v>
      </c>
      <c r="I262" s="0" t="n">
        <v>0.003899</v>
      </c>
      <c r="K262" s="0" t="s">
        <v>12</v>
      </c>
      <c r="L262" s="0" t="n">
        <v>5</v>
      </c>
      <c r="M262" s="0" t="n">
        <v>100</v>
      </c>
      <c r="N262" s="0" t="n">
        <v>75</v>
      </c>
      <c r="O262" s="4" t="n">
        <f aca="false">(E262+E279+E296)/3</f>
        <v>0.791666666666667</v>
      </c>
      <c r="P262" s="3" t="n">
        <f aca="false">(N262/O262)</f>
        <v>94.7368421052632</v>
      </c>
      <c r="Q262" s="4" t="n">
        <f aca="false">(G262+G279+G296)/3</f>
        <v>0.572333333333333</v>
      </c>
      <c r="R262" s="5" t="n">
        <f aca="false">(H262+H279+H296)/3</f>
        <v>0.0122</v>
      </c>
      <c r="S262" s="5" t="n">
        <f aca="false">(I262+I279+I296)/3</f>
        <v>0.00389166666666667</v>
      </c>
    </row>
    <row r="263" customFormat="false" ht="12.8" hidden="false" customHeight="false" outlineLevel="0" collapsed="false">
      <c r="A263" s="0" t="s">
        <v>12</v>
      </c>
      <c r="B263" s="0" t="n">
        <v>5</v>
      </c>
      <c r="C263" s="0" t="n">
        <v>100</v>
      </c>
      <c r="D263" s="0" t="n">
        <v>100</v>
      </c>
      <c r="E263" s="0" t="n">
        <v>0.811</v>
      </c>
      <c r="G263" s="0" t="n">
        <v>0.403</v>
      </c>
      <c r="H263" s="0" t="n">
        <v>0.016266</v>
      </c>
      <c r="I263" s="0" t="n">
        <v>0.005194</v>
      </c>
      <c r="K263" s="0" t="s">
        <v>12</v>
      </c>
      <c r="L263" s="0" t="n">
        <v>5</v>
      </c>
      <c r="M263" s="0" t="n">
        <v>100</v>
      </c>
      <c r="N263" s="0" t="n">
        <v>100</v>
      </c>
      <c r="O263" s="4" t="n">
        <f aca="false">(E263+E280+E297)/3</f>
        <v>0.763333333333333</v>
      </c>
      <c r="P263" s="3" t="n">
        <f aca="false">(N263/O263)</f>
        <v>131.004366812227</v>
      </c>
      <c r="Q263" s="4" t="n">
        <f aca="false">(G263+G280+G297)/3</f>
        <v>0.458666666666667</v>
      </c>
      <c r="R263" s="5" t="n">
        <f aca="false">(H263+H280+H297)/3</f>
        <v>0.0162663333333333</v>
      </c>
      <c r="S263" s="5" t="n">
        <f aca="false">(I263+I280+I297)/3</f>
        <v>0.00519633333333333</v>
      </c>
    </row>
    <row r="264" customFormat="false" ht="12.8" hidden="false" customHeight="false" outlineLevel="0" collapsed="false">
      <c r="A264" s="0" t="s">
        <v>12</v>
      </c>
      <c r="B264" s="0" t="n">
        <v>5</v>
      </c>
      <c r="C264" s="0" t="n">
        <v>100</v>
      </c>
      <c r="D264" s="0" t="n">
        <v>150</v>
      </c>
      <c r="E264" s="0" t="n">
        <v>1.082</v>
      </c>
      <c r="G264" s="0" t="n">
        <v>0.58</v>
      </c>
      <c r="H264" s="0" t="n">
        <v>0.0244</v>
      </c>
      <c r="I264" s="0" t="n">
        <v>0.007796</v>
      </c>
      <c r="K264" s="0" t="s">
        <v>12</v>
      </c>
      <c r="L264" s="0" t="n">
        <v>5</v>
      </c>
      <c r="M264" s="0" t="n">
        <v>100</v>
      </c>
      <c r="N264" s="0" t="n">
        <v>150</v>
      </c>
      <c r="O264" s="4" t="n">
        <f aca="false">(E264+E281+E298)/3</f>
        <v>1.229</v>
      </c>
      <c r="P264" s="3" t="n">
        <f aca="false">(N264/O264)</f>
        <v>122.050447518308</v>
      </c>
      <c r="Q264" s="4" t="n">
        <f aca="false">(G264+G281+G298)/3</f>
        <v>0.739333333333333</v>
      </c>
      <c r="R264" s="5" t="n">
        <f aca="false">(H264+H281+H298)/3</f>
        <v>0.0244</v>
      </c>
      <c r="S264" s="5" t="n">
        <f aca="false">(I264+I281+I298)/3</f>
        <v>0.00779966666666667</v>
      </c>
    </row>
    <row r="265" customFormat="false" ht="12.8" hidden="false" customHeight="false" outlineLevel="0" collapsed="false">
      <c r="A265" s="0" t="s">
        <v>12</v>
      </c>
      <c r="B265" s="0" t="n">
        <v>5</v>
      </c>
      <c r="C265" s="0" t="n">
        <v>100</v>
      </c>
      <c r="D265" s="0" t="n">
        <v>200</v>
      </c>
      <c r="E265" s="0" t="n">
        <v>0.956</v>
      </c>
      <c r="G265" s="0" t="n">
        <v>0.498</v>
      </c>
      <c r="H265" s="0" t="n">
        <v>0.032533</v>
      </c>
      <c r="I265" s="0" t="n">
        <v>0.0104</v>
      </c>
      <c r="K265" s="0" t="s">
        <v>12</v>
      </c>
      <c r="L265" s="0" t="n">
        <v>5</v>
      </c>
      <c r="M265" s="0" t="n">
        <v>100</v>
      </c>
      <c r="N265" s="0" t="n">
        <v>200</v>
      </c>
      <c r="O265" s="4" t="n">
        <f aca="false">(E265+E282+E299)/3</f>
        <v>1.007</v>
      </c>
      <c r="P265" s="3" t="n">
        <f aca="false">(N265/O265)</f>
        <v>198.609731876862</v>
      </c>
      <c r="Q265" s="4" t="n">
        <f aca="false">(G265+G282+G299)/3</f>
        <v>0.538666666666667</v>
      </c>
      <c r="R265" s="5" t="n">
        <f aca="false">(H265+H282+H299)/3</f>
        <v>0.032533</v>
      </c>
      <c r="S265" s="5" t="n">
        <f aca="false">(I265+I282+I299)/3</f>
        <v>0.0104046666666667</v>
      </c>
    </row>
    <row r="266" customFormat="false" ht="12.8" hidden="false" customHeight="false" outlineLevel="0" collapsed="false">
      <c r="A266" s="0" t="s">
        <v>12</v>
      </c>
      <c r="B266" s="0" t="n">
        <v>5</v>
      </c>
      <c r="C266" s="0" t="n">
        <v>100</v>
      </c>
      <c r="D266" s="0" t="n">
        <v>250</v>
      </c>
      <c r="E266" s="0" t="n">
        <v>1.83</v>
      </c>
      <c r="G266" s="0" t="n">
        <v>1.153</v>
      </c>
      <c r="H266" s="0" t="n">
        <v>0.040666</v>
      </c>
      <c r="I266" s="0" t="n">
        <v>0.012985</v>
      </c>
      <c r="K266" s="0" t="s">
        <v>12</v>
      </c>
      <c r="L266" s="0" t="n">
        <v>5</v>
      </c>
      <c r="M266" s="0" t="n">
        <v>100</v>
      </c>
      <c r="N266" s="0" t="n">
        <v>250</v>
      </c>
      <c r="O266" s="4" t="n">
        <f aca="false">(E266+E283+E300)/3</f>
        <v>1.73233333333333</v>
      </c>
      <c r="P266" s="3" t="n">
        <f aca="false">(N266/O266)</f>
        <v>144.314027323456</v>
      </c>
      <c r="Q266" s="4" t="n">
        <f aca="false">(G266+G283+G300)/3</f>
        <v>1.07866666666667</v>
      </c>
      <c r="R266" s="5" t="n">
        <f aca="false">(H266+H283+H300)/3</f>
        <v>0.0406663333333333</v>
      </c>
      <c r="S266" s="5" t="n">
        <f aca="false">(I266+I283+I300)/3</f>
        <v>0.012997</v>
      </c>
    </row>
    <row r="267" customFormat="false" ht="12.8" hidden="false" customHeight="false" outlineLevel="0" collapsed="false">
      <c r="A267" s="0" t="s">
        <v>12</v>
      </c>
      <c r="B267" s="0" t="n">
        <v>5</v>
      </c>
      <c r="C267" s="0" t="n">
        <v>100</v>
      </c>
      <c r="D267" s="0" t="n">
        <v>500</v>
      </c>
      <c r="E267" s="0" t="n">
        <v>2.311</v>
      </c>
      <c r="G267" s="0" t="n">
        <v>1.126</v>
      </c>
      <c r="H267" s="0" t="n">
        <v>0.081333</v>
      </c>
      <c r="I267" s="0" t="n">
        <v>0.026006</v>
      </c>
      <c r="K267" s="0" t="s">
        <v>12</v>
      </c>
      <c r="L267" s="0" t="n">
        <v>5</v>
      </c>
      <c r="M267" s="0" t="n">
        <v>100</v>
      </c>
      <c r="N267" s="0" t="n">
        <v>500</v>
      </c>
      <c r="O267" s="4" t="n">
        <f aca="false">(E267+E284+E301)/3</f>
        <v>2.21566666666667</v>
      </c>
      <c r="P267" s="3" t="n">
        <f aca="false">(N267/O267)</f>
        <v>225.665713855875</v>
      </c>
      <c r="Q267" s="4" t="n">
        <f aca="false">(G267+G284+G301)/3</f>
        <v>1.07966666666667</v>
      </c>
      <c r="R267" s="5" t="n">
        <f aca="false">(H267+H284+H301)/3</f>
        <v>0.081333</v>
      </c>
      <c r="S267" s="5" t="n">
        <f aca="false">(I267+I284+I301)/3</f>
        <v>0.026011</v>
      </c>
    </row>
    <row r="268" customFormat="false" ht="12.8" hidden="false" customHeight="false" outlineLevel="0" collapsed="false">
      <c r="A268" s="0" t="s">
        <v>12</v>
      </c>
      <c r="B268" s="0" t="n">
        <v>5</v>
      </c>
      <c r="C268" s="0" t="n">
        <v>100</v>
      </c>
      <c r="D268" s="0" t="n">
        <v>750</v>
      </c>
      <c r="E268" s="0" t="n">
        <v>3.313</v>
      </c>
      <c r="G268" s="0" t="n">
        <v>1.556</v>
      </c>
      <c r="H268" s="0" t="n">
        <v>0.121999</v>
      </c>
      <c r="I268" s="0" t="n">
        <v>0.038988</v>
      </c>
      <c r="K268" s="0" t="s">
        <v>12</v>
      </c>
      <c r="L268" s="0" t="n">
        <v>5</v>
      </c>
      <c r="M268" s="0" t="n">
        <v>100</v>
      </c>
      <c r="N268" s="0" t="n">
        <v>750</v>
      </c>
      <c r="O268" s="4" t="n">
        <f aca="false">(E268+E285+E302)/3</f>
        <v>3.40666666666667</v>
      </c>
      <c r="P268" s="3" t="n">
        <f aca="false">(N268/O268)</f>
        <v>220.156555772994</v>
      </c>
      <c r="Q268" s="4" t="n">
        <f aca="false">(G268+G285+G302)/3</f>
        <v>1.584</v>
      </c>
      <c r="R268" s="5" t="n">
        <f aca="false">(H268+H285+H302)/3</f>
        <v>0.121999333333333</v>
      </c>
      <c r="S268" s="5" t="n">
        <f aca="false">(I268+I285+I302)/3</f>
        <v>0.0390073333333333</v>
      </c>
    </row>
    <row r="269" customFormat="false" ht="12.8" hidden="false" customHeight="false" outlineLevel="0" collapsed="false">
      <c r="A269" s="0" t="s">
        <v>12</v>
      </c>
      <c r="B269" s="0" t="n">
        <v>5</v>
      </c>
      <c r="C269" s="0" t="n">
        <v>100</v>
      </c>
      <c r="D269" s="0" t="n">
        <v>1000</v>
      </c>
      <c r="E269" s="0" t="n">
        <v>4.079</v>
      </c>
      <c r="G269" s="0" t="n">
        <v>2.046</v>
      </c>
      <c r="H269" s="0" t="n">
        <v>0.162665</v>
      </c>
      <c r="I269" s="0" t="n">
        <v>0.052027</v>
      </c>
      <c r="K269" s="0" t="s">
        <v>12</v>
      </c>
      <c r="L269" s="0" t="n">
        <v>5</v>
      </c>
      <c r="M269" s="0" t="n">
        <v>100</v>
      </c>
      <c r="N269" s="0" t="n">
        <v>1000</v>
      </c>
      <c r="O269" s="4" t="n">
        <f aca="false">(E269+E286+E303)/3</f>
        <v>4.101</v>
      </c>
      <c r="P269" s="3" t="n">
        <f aca="false">(N269/O269)</f>
        <v>243.842965130456</v>
      </c>
      <c r="Q269" s="4" t="n">
        <f aca="false">(G269+G286+G303)/3</f>
        <v>2.06833333333333</v>
      </c>
      <c r="R269" s="5" t="n">
        <f aca="false">(H269+H286+H303)/3</f>
        <v>0.162665</v>
      </c>
      <c r="S269" s="5" t="n">
        <f aca="false">(I269+I286+I303)/3</f>
        <v>0.051997</v>
      </c>
    </row>
    <row r="270" customFormat="false" ht="12.8" hidden="false" customHeight="false" outlineLevel="0" collapsed="false">
      <c r="A270" s="0" t="s">
        <v>12</v>
      </c>
      <c r="B270" s="0" t="n">
        <v>5</v>
      </c>
      <c r="C270" s="0" t="n">
        <v>100</v>
      </c>
      <c r="D270" s="0" t="n">
        <v>1500</v>
      </c>
      <c r="E270" s="0" t="n">
        <v>5.998</v>
      </c>
      <c r="G270" s="0" t="n">
        <v>2.825</v>
      </c>
      <c r="H270" s="0" t="n">
        <v>0.243999</v>
      </c>
      <c r="I270" s="0" t="n">
        <v>0.078013</v>
      </c>
      <c r="K270" s="0" t="s">
        <v>12</v>
      </c>
      <c r="L270" s="0" t="n">
        <v>5</v>
      </c>
      <c r="M270" s="0" t="n">
        <v>100</v>
      </c>
      <c r="N270" s="0" t="n">
        <v>1500</v>
      </c>
      <c r="O270" s="4" t="n">
        <f aca="false">(E270+E287+E304)/3</f>
        <v>6.28466666666667</v>
      </c>
      <c r="P270" s="3" t="n">
        <f aca="false">(N270/O270)</f>
        <v>238.676142993529</v>
      </c>
      <c r="Q270" s="4" t="n">
        <f aca="false">(G270+G287+G304)/3</f>
        <v>3.089</v>
      </c>
      <c r="R270" s="5" t="n">
        <f aca="false">(H270+H287+H304)/3</f>
        <v>0.243998333333333</v>
      </c>
      <c r="S270" s="5" t="n">
        <f aca="false">(I270+I287+I304)/3</f>
        <v>0.0779813333333333</v>
      </c>
    </row>
    <row r="271" customFormat="false" ht="12.8" hidden="false" customHeight="false" outlineLevel="0" collapsed="false">
      <c r="A271" s="0" t="s">
        <v>12</v>
      </c>
      <c r="B271" s="0" t="n">
        <v>5</v>
      </c>
      <c r="C271" s="0" t="n">
        <v>100</v>
      </c>
      <c r="D271" s="0" t="n">
        <v>2000</v>
      </c>
      <c r="E271" s="0" t="n">
        <v>8.327</v>
      </c>
      <c r="G271" s="0" t="n">
        <v>3.914</v>
      </c>
      <c r="H271" s="0" t="n">
        <v>0.325331</v>
      </c>
      <c r="I271" s="0" t="n">
        <v>0.104013</v>
      </c>
      <c r="K271" s="0" t="s">
        <v>12</v>
      </c>
      <c r="L271" s="0" t="n">
        <v>5</v>
      </c>
      <c r="M271" s="0" t="n">
        <v>100</v>
      </c>
      <c r="N271" s="0" t="n">
        <v>2000</v>
      </c>
      <c r="O271" s="4" t="n">
        <f aca="false">(E271+E288+E305)/3</f>
        <v>8.345</v>
      </c>
      <c r="P271" s="3" t="n">
        <f aca="false">(N271/O271)</f>
        <v>239.664469742361</v>
      </c>
      <c r="Q271" s="4" t="n">
        <f aca="false">(G271+G288+G305)/3</f>
        <v>3.837</v>
      </c>
      <c r="R271" s="5" t="n">
        <f aca="false">(H271+H288+H305)/3</f>
        <v>0.325331</v>
      </c>
      <c r="S271" s="5" t="n">
        <f aca="false">(I271+I288+I305)/3</f>
        <v>0.104027333333333</v>
      </c>
    </row>
    <row r="272" customFormat="false" ht="12.8" hidden="false" customHeight="false" outlineLevel="0" collapsed="false">
      <c r="A272" s="0" t="s">
        <v>12</v>
      </c>
      <c r="B272" s="0" t="n">
        <v>5</v>
      </c>
      <c r="C272" s="0" t="n">
        <v>100</v>
      </c>
      <c r="D272" s="0" t="n">
        <v>3000</v>
      </c>
      <c r="E272" s="0" t="n">
        <v>14.094</v>
      </c>
      <c r="G272" s="0" t="n">
        <v>5.853</v>
      </c>
      <c r="H272" s="0" t="n">
        <v>0.487997</v>
      </c>
      <c r="I272" s="0" t="n">
        <v>0.156003</v>
      </c>
      <c r="K272" s="0" t="s">
        <v>12</v>
      </c>
      <c r="L272" s="0" t="n">
        <v>5</v>
      </c>
      <c r="M272" s="0" t="n">
        <v>100</v>
      </c>
      <c r="N272" s="0" t="n">
        <v>3000</v>
      </c>
      <c r="O272" s="4" t="n">
        <f aca="false">(E272+E289+E306)/3</f>
        <v>13.7036666666667</v>
      </c>
      <c r="P272" s="3" t="n">
        <f aca="false">(N272/O272)</f>
        <v>218.919510593272</v>
      </c>
      <c r="Q272" s="4" t="n">
        <f aca="false">(G272+G289+G306)/3</f>
        <v>5.861</v>
      </c>
      <c r="R272" s="5" t="n">
        <f aca="false">(H272+H289+H306)/3</f>
        <v>0.487996333333333</v>
      </c>
      <c r="S272" s="5" t="n">
        <f aca="false">(I272+I289+I306)/3</f>
        <v>0.155979666666667</v>
      </c>
    </row>
    <row r="273" customFormat="false" ht="12.8" hidden="false" customHeight="false" outlineLevel="0" collapsed="false">
      <c r="A273" s="0" t="s">
        <v>0</v>
      </c>
      <c r="B273" s="0" t="s">
        <v>1</v>
      </c>
      <c r="C273" s="0" t="s">
        <v>2</v>
      </c>
      <c r="D273" s="0" t="s">
        <v>3</v>
      </c>
      <c r="E273" s="0" t="s">
        <v>4</v>
      </c>
      <c r="G273" s="0" t="s">
        <v>6</v>
      </c>
      <c r="H273" s="0" t="s">
        <v>7</v>
      </c>
      <c r="I273" s="0" t="s">
        <v>8</v>
      </c>
    </row>
    <row r="274" customFormat="false" ht="12.8" hidden="false" customHeight="false" outlineLevel="0" collapsed="false">
      <c r="A274" s="0" t="s">
        <v>12</v>
      </c>
      <c r="B274" s="0" t="n">
        <v>5</v>
      </c>
      <c r="C274" s="0" t="n">
        <v>100</v>
      </c>
      <c r="D274" s="0" t="n">
        <v>10</v>
      </c>
      <c r="E274" s="0" t="n">
        <v>0.721</v>
      </c>
      <c r="G274" s="0" t="n">
        <v>0.478</v>
      </c>
      <c r="H274" s="0" t="n">
        <v>0.001661</v>
      </c>
      <c r="I274" s="0" t="n">
        <v>0.00054</v>
      </c>
    </row>
    <row r="275" customFormat="false" ht="12.8" hidden="false" customHeight="false" outlineLevel="0" collapsed="false">
      <c r="A275" s="0" t="s">
        <v>12</v>
      </c>
      <c r="B275" s="0" t="n">
        <v>5</v>
      </c>
      <c r="C275" s="0" t="n">
        <v>100</v>
      </c>
      <c r="D275" s="0" t="n">
        <v>15</v>
      </c>
      <c r="E275" s="0" t="n">
        <v>0.846</v>
      </c>
      <c r="G275" s="0" t="n">
        <v>0.673</v>
      </c>
      <c r="H275" s="0" t="n">
        <v>0.00244</v>
      </c>
      <c r="I275" s="0" t="n">
        <v>0.000781</v>
      </c>
    </row>
    <row r="276" customFormat="false" ht="12.8" hidden="false" customHeight="false" outlineLevel="0" collapsed="false">
      <c r="A276" s="0" t="s">
        <v>12</v>
      </c>
      <c r="B276" s="0" t="n">
        <v>5</v>
      </c>
      <c r="C276" s="0" t="n">
        <v>100</v>
      </c>
      <c r="D276" s="0" t="n">
        <v>20</v>
      </c>
      <c r="E276" s="0" t="n">
        <v>0.876</v>
      </c>
      <c r="G276" s="0" t="n">
        <v>0.662</v>
      </c>
      <c r="H276" s="0" t="n">
        <v>0.003253</v>
      </c>
      <c r="I276" s="0" t="n">
        <v>0.001034</v>
      </c>
    </row>
    <row r="277" customFormat="false" ht="12.8" hidden="false" customHeight="false" outlineLevel="0" collapsed="false">
      <c r="A277" s="0" t="s">
        <v>12</v>
      </c>
      <c r="B277" s="0" t="n">
        <v>5</v>
      </c>
      <c r="C277" s="0" t="n">
        <v>100</v>
      </c>
      <c r="D277" s="0" t="n">
        <v>25</v>
      </c>
      <c r="E277" s="0" t="n">
        <v>0.813</v>
      </c>
      <c r="G277" s="0" t="n">
        <v>0.633</v>
      </c>
      <c r="H277" s="0" t="n">
        <v>0.004067</v>
      </c>
      <c r="I277" s="0" t="n">
        <v>0.001306</v>
      </c>
    </row>
    <row r="278" customFormat="false" ht="12.8" hidden="false" customHeight="false" outlineLevel="0" collapsed="false">
      <c r="A278" s="0" t="s">
        <v>12</v>
      </c>
      <c r="B278" s="0" t="n">
        <v>5</v>
      </c>
      <c r="C278" s="0" t="n">
        <v>100</v>
      </c>
      <c r="D278" s="0" t="n">
        <v>50</v>
      </c>
      <c r="E278" s="0" t="n">
        <v>0.798</v>
      </c>
      <c r="G278" s="0" t="n">
        <v>0.595</v>
      </c>
      <c r="H278" s="0" t="n">
        <v>0.008133</v>
      </c>
      <c r="I278" s="0" t="n">
        <v>0.002593</v>
      </c>
    </row>
    <row r="279" customFormat="false" ht="12.8" hidden="false" customHeight="false" outlineLevel="0" collapsed="false">
      <c r="A279" s="0" t="s">
        <v>12</v>
      </c>
      <c r="B279" s="0" t="n">
        <v>5</v>
      </c>
      <c r="C279" s="0" t="n">
        <v>100</v>
      </c>
      <c r="D279" s="0" t="n">
        <v>75</v>
      </c>
      <c r="E279" s="0" t="n">
        <v>0.776</v>
      </c>
      <c r="G279" s="0" t="n">
        <v>0.539</v>
      </c>
      <c r="H279" s="0" t="n">
        <v>0.0122</v>
      </c>
      <c r="I279" s="0" t="n">
        <v>0.003891</v>
      </c>
    </row>
    <row r="280" customFormat="false" ht="12.8" hidden="false" customHeight="false" outlineLevel="0" collapsed="false">
      <c r="A280" s="0" t="s">
        <v>12</v>
      </c>
      <c r="B280" s="0" t="n">
        <v>5</v>
      </c>
      <c r="C280" s="0" t="n">
        <v>100</v>
      </c>
      <c r="D280" s="0" t="n">
        <v>100</v>
      </c>
      <c r="E280" s="0" t="n">
        <v>0.74</v>
      </c>
      <c r="G280" s="0" t="n">
        <v>0.488</v>
      </c>
      <c r="H280" s="0" t="n">
        <v>0.016267</v>
      </c>
      <c r="I280" s="0" t="n">
        <v>0.005189</v>
      </c>
    </row>
    <row r="281" customFormat="false" ht="12.8" hidden="false" customHeight="false" outlineLevel="0" collapsed="false">
      <c r="A281" s="0" t="s">
        <v>12</v>
      </c>
      <c r="B281" s="0" t="n">
        <v>5</v>
      </c>
      <c r="C281" s="0" t="n">
        <v>100</v>
      </c>
      <c r="D281" s="0" t="n">
        <v>150</v>
      </c>
      <c r="E281" s="0" t="n">
        <v>1.303</v>
      </c>
      <c r="G281" s="0" t="n">
        <v>0.841</v>
      </c>
      <c r="H281" s="0" t="n">
        <v>0.0244</v>
      </c>
      <c r="I281" s="0" t="n">
        <v>0.007793</v>
      </c>
    </row>
    <row r="282" customFormat="false" ht="12.8" hidden="false" customHeight="false" outlineLevel="0" collapsed="false">
      <c r="A282" s="0" t="s">
        <v>12</v>
      </c>
      <c r="B282" s="0" t="n">
        <v>5</v>
      </c>
      <c r="C282" s="0" t="n">
        <v>100</v>
      </c>
      <c r="D282" s="0" t="n">
        <v>200</v>
      </c>
      <c r="E282" s="0" t="n">
        <v>1.117</v>
      </c>
      <c r="G282" s="0" t="n">
        <v>0.594</v>
      </c>
      <c r="H282" s="0" t="n">
        <v>0.032533</v>
      </c>
      <c r="I282" s="0" t="n">
        <v>0.010403</v>
      </c>
    </row>
    <row r="283" customFormat="false" ht="12.8" hidden="false" customHeight="false" outlineLevel="0" collapsed="false">
      <c r="A283" s="0" t="s">
        <v>12</v>
      </c>
      <c r="B283" s="0" t="n">
        <v>5</v>
      </c>
      <c r="C283" s="0" t="n">
        <v>100</v>
      </c>
      <c r="D283" s="0" t="n">
        <v>250</v>
      </c>
      <c r="E283" s="0" t="n">
        <v>1.78</v>
      </c>
      <c r="G283" s="0" t="n">
        <v>1.128</v>
      </c>
      <c r="H283" s="0" t="n">
        <v>0.040666</v>
      </c>
      <c r="I283" s="0" t="n">
        <v>0.013007</v>
      </c>
    </row>
    <row r="284" customFormat="false" ht="12.8" hidden="false" customHeight="false" outlineLevel="0" collapsed="false">
      <c r="A284" s="0" t="s">
        <v>12</v>
      </c>
      <c r="B284" s="0" t="n">
        <v>5</v>
      </c>
      <c r="C284" s="0" t="n">
        <v>100</v>
      </c>
      <c r="D284" s="0" t="n">
        <v>500</v>
      </c>
      <c r="E284" s="0" t="n">
        <v>2.32</v>
      </c>
      <c r="G284" s="0" t="n">
        <v>1.295</v>
      </c>
      <c r="H284" s="0" t="n">
        <v>0.081333</v>
      </c>
      <c r="I284" s="0" t="n">
        <v>0.026012</v>
      </c>
    </row>
    <row r="285" customFormat="false" ht="12.8" hidden="false" customHeight="false" outlineLevel="0" collapsed="false">
      <c r="A285" s="0" t="s">
        <v>12</v>
      </c>
      <c r="B285" s="0" t="n">
        <v>5</v>
      </c>
      <c r="C285" s="0" t="n">
        <v>100</v>
      </c>
      <c r="D285" s="0" t="n">
        <v>750</v>
      </c>
      <c r="E285" s="0" t="n">
        <v>3.713</v>
      </c>
      <c r="G285" s="0" t="n">
        <v>1.64</v>
      </c>
      <c r="H285" s="0" t="n">
        <v>0.121999</v>
      </c>
      <c r="I285" s="0" t="n">
        <v>0.039052</v>
      </c>
    </row>
    <row r="286" customFormat="false" ht="12.8" hidden="false" customHeight="false" outlineLevel="0" collapsed="false">
      <c r="A286" s="0" t="s">
        <v>12</v>
      </c>
      <c r="B286" s="0" t="n">
        <v>5</v>
      </c>
      <c r="C286" s="0" t="n">
        <v>100</v>
      </c>
      <c r="D286" s="0" t="n">
        <v>1000</v>
      </c>
      <c r="E286" s="0" t="n">
        <v>4.204</v>
      </c>
      <c r="G286" s="0" t="n">
        <v>2.091</v>
      </c>
      <c r="H286" s="0" t="n">
        <v>0.162665</v>
      </c>
      <c r="I286" s="0" t="n">
        <v>0.052021</v>
      </c>
    </row>
    <row r="287" customFormat="false" ht="12.8" hidden="false" customHeight="false" outlineLevel="0" collapsed="false">
      <c r="A287" s="0" t="s">
        <v>12</v>
      </c>
      <c r="B287" s="0" t="n">
        <v>5</v>
      </c>
      <c r="C287" s="0" t="n">
        <v>100</v>
      </c>
      <c r="D287" s="0" t="n">
        <v>1500</v>
      </c>
      <c r="E287" s="0" t="n">
        <v>6.322</v>
      </c>
      <c r="G287" s="0" t="n">
        <v>3.11</v>
      </c>
      <c r="H287" s="0" t="n">
        <v>0.243998</v>
      </c>
      <c r="I287" s="0" t="n">
        <v>0.077982</v>
      </c>
    </row>
    <row r="288" customFormat="false" ht="12.8" hidden="false" customHeight="false" outlineLevel="0" collapsed="false">
      <c r="A288" s="0" t="s">
        <v>12</v>
      </c>
      <c r="B288" s="0" t="n">
        <v>5</v>
      </c>
      <c r="C288" s="0" t="n">
        <v>100</v>
      </c>
      <c r="D288" s="0" t="n">
        <v>2000</v>
      </c>
      <c r="E288" s="0" t="n">
        <v>8.515</v>
      </c>
      <c r="G288" s="0" t="n">
        <v>3.797</v>
      </c>
      <c r="H288" s="0" t="n">
        <v>0.325331</v>
      </c>
      <c r="I288" s="0" t="n">
        <v>0.104008</v>
      </c>
    </row>
    <row r="289" customFormat="false" ht="12.8" hidden="false" customHeight="false" outlineLevel="0" collapsed="false">
      <c r="A289" s="0" t="s">
        <v>12</v>
      </c>
      <c r="B289" s="0" t="n">
        <v>5</v>
      </c>
      <c r="C289" s="0" t="n">
        <v>100</v>
      </c>
      <c r="D289" s="0" t="n">
        <v>3000</v>
      </c>
      <c r="E289" s="0" t="n">
        <v>13.721</v>
      </c>
      <c r="G289" s="0" t="n">
        <v>6.158</v>
      </c>
      <c r="H289" s="0" t="n">
        <v>0.487997</v>
      </c>
      <c r="I289" s="0" t="n">
        <v>0.155977</v>
      </c>
    </row>
    <row r="290" customFormat="false" ht="12.8" hidden="false" customHeight="false" outlineLevel="0" collapsed="false">
      <c r="A290" s="0" t="s">
        <v>0</v>
      </c>
      <c r="B290" s="0" t="s">
        <v>1</v>
      </c>
      <c r="C290" s="0" t="s">
        <v>2</v>
      </c>
      <c r="D290" s="0" t="s">
        <v>3</v>
      </c>
      <c r="E290" s="0" t="s">
        <v>4</v>
      </c>
      <c r="G290" s="0" t="s">
        <v>6</v>
      </c>
      <c r="H290" s="0" t="s">
        <v>7</v>
      </c>
      <c r="I290" s="0" t="s">
        <v>8</v>
      </c>
    </row>
    <row r="291" customFormat="false" ht="12.8" hidden="false" customHeight="false" outlineLevel="0" collapsed="false">
      <c r="A291" s="0" t="s">
        <v>12</v>
      </c>
      <c r="B291" s="0" t="n">
        <v>5</v>
      </c>
      <c r="C291" s="0" t="n">
        <v>100</v>
      </c>
      <c r="D291" s="0" t="n">
        <v>10</v>
      </c>
      <c r="E291" s="0" t="n">
        <v>1.02</v>
      </c>
      <c r="G291" s="0" t="n">
        <v>0.923</v>
      </c>
      <c r="H291" s="0" t="n">
        <v>0.001661</v>
      </c>
      <c r="I291" s="0" t="n">
        <v>0.000537</v>
      </c>
    </row>
    <row r="292" customFormat="false" ht="12.8" hidden="false" customHeight="false" outlineLevel="0" collapsed="false">
      <c r="A292" s="0" t="s">
        <v>12</v>
      </c>
      <c r="B292" s="0" t="n">
        <v>5</v>
      </c>
      <c r="C292" s="0" t="n">
        <v>100</v>
      </c>
      <c r="D292" s="0" t="n">
        <v>15</v>
      </c>
      <c r="E292" s="0" t="n">
        <v>0.86</v>
      </c>
      <c r="G292" s="0" t="n">
        <v>0.684</v>
      </c>
      <c r="H292" s="0" t="n">
        <v>0.00244</v>
      </c>
      <c r="I292" s="0" t="n">
        <v>0.000778</v>
      </c>
    </row>
    <row r="293" customFormat="false" ht="12.8" hidden="false" customHeight="false" outlineLevel="0" collapsed="false">
      <c r="A293" s="0" t="s">
        <v>12</v>
      </c>
      <c r="B293" s="0" t="n">
        <v>5</v>
      </c>
      <c r="C293" s="0" t="n">
        <v>100</v>
      </c>
      <c r="D293" s="0" t="n">
        <v>20</v>
      </c>
      <c r="E293" s="0" t="n">
        <v>0.806</v>
      </c>
      <c r="G293" s="0" t="n">
        <v>0.609</v>
      </c>
      <c r="H293" s="0" t="n">
        <v>0.003253</v>
      </c>
      <c r="I293" s="0" t="n">
        <v>0.001037</v>
      </c>
    </row>
    <row r="294" customFormat="false" ht="12.8" hidden="false" customHeight="false" outlineLevel="0" collapsed="false">
      <c r="A294" s="0" t="s">
        <v>12</v>
      </c>
      <c r="B294" s="0" t="n">
        <v>5</v>
      </c>
      <c r="C294" s="0" t="n">
        <v>100</v>
      </c>
      <c r="D294" s="0" t="n">
        <v>25</v>
      </c>
      <c r="E294" s="0" t="n">
        <v>0.778</v>
      </c>
      <c r="G294" s="0" t="n">
        <v>0.592</v>
      </c>
      <c r="H294" s="0" t="n">
        <v>0.004067</v>
      </c>
      <c r="I294" s="0" t="n">
        <v>0.001304</v>
      </c>
    </row>
    <row r="295" customFormat="false" ht="12.8" hidden="false" customHeight="false" outlineLevel="0" collapsed="false">
      <c r="A295" s="0" t="s">
        <v>12</v>
      </c>
      <c r="B295" s="0" t="n">
        <v>5</v>
      </c>
      <c r="C295" s="0" t="n">
        <v>100</v>
      </c>
      <c r="D295" s="0" t="n">
        <v>50</v>
      </c>
      <c r="E295" s="0" t="n">
        <v>0.799</v>
      </c>
      <c r="G295" s="0" t="n">
        <v>0.55</v>
      </c>
      <c r="H295" s="0" t="n">
        <v>0.008133</v>
      </c>
      <c r="I295" s="0" t="n">
        <v>0.002602</v>
      </c>
    </row>
    <row r="296" customFormat="false" ht="12.8" hidden="false" customHeight="false" outlineLevel="0" collapsed="false">
      <c r="A296" s="0" t="s">
        <v>12</v>
      </c>
      <c r="B296" s="0" t="n">
        <v>5</v>
      </c>
      <c r="C296" s="0" t="n">
        <v>100</v>
      </c>
      <c r="D296" s="0" t="n">
        <v>75</v>
      </c>
      <c r="E296" s="0" t="n">
        <v>0.75</v>
      </c>
      <c r="G296" s="0" t="n">
        <v>0.535</v>
      </c>
      <c r="H296" s="0" t="n">
        <v>0.0122</v>
      </c>
      <c r="I296" s="0" t="n">
        <v>0.003885</v>
      </c>
    </row>
    <row r="297" customFormat="false" ht="12.8" hidden="false" customHeight="false" outlineLevel="0" collapsed="false">
      <c r="A297" s="0" t="s">
        <v>12</v>
      </c>
      <c r="B297" s="0" t="n">
        <v>5</v>
      </c>
      <c r="C297" s="0" t="n">
        <v>100</v>
      </c>
      <c r="D297" s="0" t="n">
        <v>100</v>
      </c>
      <c r="E297" s="0" t="n">
        <v>0.739</v>
      </c>
      <c r="G297" s="0" t="n">
        <v>0.485</v>
      </c>
      <c r="H297" s="0" t="n">
        <v>0.016266</v>
      </c>
      <c r="I297" s="0" t="n">
        <v>0.005206</v>
      </c>
    </row>
    <row r="298" customFormat="false" ht="12.8" hidden="false" customHeight="false" outlineLevel="0" collapsed="false">
      <c r="A298" s="0" t="s">
        <v>12</v>
      </c>
      <c r="B298" s="0" t="n">
        <v>5</v>
      </c>
      <c r="C298" s="0" t="n">
        <v>100</v>
      </c>
      <c r="D298" s="0" t="n">
        <v>150</v>
      </c>
      <c r="E298" s="0" t="n">
        <v>1.302</v>
      </c>
      <c r="G298" s="0" t="n">
        <v>0.797</v>
      </c>
      <c r="H298" s="0" t="n">
        <v>0.0244</v>
      </c>
      <c r="I298" s="0" t="n">
        <v>0.00781</v>
      </c>
    </row>
    <row r="299" customFormat="false" ht="12.8" hidden="false" customHeight="false" outlineLevel="0" collapsed="false">
      <c r="A299" s="0" t="s">
        <v>12</v>
      </c>
      <c r="B299" s="0" t="n">
        <v>5</v>
      </c>
      <c r="C299" s="0" t="n">
        <v>100</v>
      </c>
      <c r="D299" s="0" t="n">
        <v>200</v>
      </c>
      <c r="E299" s="0" t="n">
        <v>0.948</v>
      </c>
      <c r="G299" s="0" t="n">
        <v>0.524</v>
      </c>
      <c r="H299" s="0" t="n">
        <v>0.032533</v>
      </c>
      <c r="I299" s="0" t="n">
        <v>0.010411</v>
      </c>
    </row>
    <row r="300" customFormat="false" ht="12.8" hidden="false" customHeight="false" outlineLevel="0" collapsed="false">
      <c r="A300" s="0" t="s">
        <v>12</v>
      </c>
      <c r="B300" s="0" t="n">
        <v>5</v>
      </c>
      <c r="C300" s="0" t="n">
        <v>100</v>
      </c>
      <c r="D300" s="0" t="n">
        <v>250</v>
      </c>
      <c r="E300" s="0" t="n">
        <v>1.587</v>
      </c>
      <c r="G300" s="0" t="n">
        <v>0.955</v>
      </c>
      <c r="H300" s="0" t="n">
        <v>0.040667</v>
      </c>
      <c r="I300" s="0" t="n">
        <v>0.012999</v>
      </c>
    </row>
    <row r="301" customFormat="false" ht="12.8" hidden="false" customHeight="false" outlineLevel="0" collapsed="false">
      <c r="A301" s="0" t="s">
        <v>12</v>
      </c>
      <c r="B301" s="0" t="n">
        <v>5</v>
      </c>
      <c r="C301" s="0" t="n">
        <v>100</v>
      </c>
      <c r="D301" s="0" t="n">
        <v>500</v>
      </c>
      <c r="E301" s="0" t="n">
        <v>2.016</v>
      </c>
      <c r="G301" s="0" t="n">
        <v>0.818</v>
      </c>
      <c r="H301" s="0" t="n">
        <v>0.081333</v>
      </c>
      <c r="I301" s="0" t="n">
        <v>0.026015</v>
      </c>
    </row>
    <row r="302" customFormat="false" ht="12.8" hidden="false" customHeight="false" outlineLevel="0" collapsed="false">
      <c r="A302" s="0" t="s">
        <v>12</v>
      </c>
      <c r="B302" s="0" t="n">
        <v>5</v>
      </c>
      <c r="C302" s="0" t="n">
        <v>100</v>
      </c>
      <c r="D302" s="0" t="n">
        <v>750</v>
      </c>
      <c r="E302" s="0" t="n">
        <v>3.194</v>
      </c>
      <c r="G302" s="0" t="n">
        <v>1.556</v>
      </c>
      <c r="H302" s="0" t="n">
        <v>0.122</v>
      </c>
      <c r="I302" s="0" t="n">
        <v>0.038982</v>
      </c>
    </row>
    <row r="303" customFormat="false" ht="12.8" hidden="false" customHeight="false" outlineLevel="0" collapsed="false">
      <c r="A303" s="0" t="s">
        <v>12</v>
      </c>
      <c r="B303" s="0" t="n">
        <v>5</v>
      </c>
      <c r="C303" s="0" t="n">
        <v>100</v>
      </c>
      <c r="D303" s="0" t="n">
        <v>1000</v>
      </c>
      <c r="E303" s="0" t="n">
        <v>4.02</v>
      </c>
      <c r="G303" s="0" t="n">
        <v>2.068</v>
      </c>
      <c r="H303" s="0" t="n">
        <v>0.162665</v>
      </c>
      <c r="I303" s="0" t="n">
        <v>0.051943</v>
      </c>
    </row>
    <row r="304" customFormat="false" ht="12.8" hidden="false" customHeight="false" outlineLevel="0" collapsed="false">
      <c r="A304" s="0" t="s">
        <v>12</v>
      </c>
      <c r="B304" s="0" t="n">
        <v>5</v>
      </c>
      <c r="C304" s="0" t="n">
        <v>100</v>
      </c>
      <c r="D304" s="0" t="n">
        <v>1500</v>
      </c>
      <c r="E304" s="0" t="n">
        <v>6.534</v>
      </c>
      <c r="G304" s="0" t="n">
        <v>3.332</v>
      </c>
      <c r="H304" s="0" t="n">
        <v>0.243998</v>
      </c>
      <c r="I304" s="0" t="n">
        <v>0.077949</v>
      </c>
    </row>
    <row r="305" customFormat="false" ht="12.8" hidden="false" customHeight="false" outlineLevel="0" collapsed="false">
      <c r="A305" s="0" t="s">
        <v>12</v>
      </c>
      <c r="B305" s="0" t="n">
        <v>5</v>
      </c>
      <c r="C305" s="0" t="n">
        <v>100</v>
      </c>
      <c r="D305" s="0" t="n">
        <v>2000</v>
      </c>
      <c r="E305" s="0" t="n">
        <v>8.193</v>
      </c>
      <c r="G305" s="0" t="n">
        <v>3.8</v>
      </c>
      <c r="H305" s="0" t="n">
        <v>0.325331</v>
      </c>
      <c r="I305" s="0" t="n">
        <v>0.104061</v>
      </c>
    </row>
    <row r="306" customFormat="false" ht="12.8" hidden="false" customHeight="false" outlineLevel="0" collapsed="false">
      <c r="A306" s="0" t="s">
        <v>12</v>
      </c>
      <c r="B306" s="0" t="n">
        <v>5</v>
      </c>
      <c r="C306" s="0" t="n">
        <v>100</v>
      </c>
      <c r="D306" s="0" t="n">
        <v>3000</v>
      </c>
      <c r="E306" s="0" t="n">
        <v>13.296</v>
      </c>
      <c r="G306" s="0" t="n">
        <v>5.572</v>
      </c>
      <c r="H306" s="0" t="n">
        <v>0.487995</v>
      </c>
      <c r="I306" s="0" t="n">
        <v>0.155959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2026-04-23T02:54:34Z</dcterms:created>
  <dc:creator/>
  <dc:description/>
  <dc:language>en-US</dc:language>
  <cp:lastModifiedBy/>
  <dcterms:modified xsi:type="dcterms:W3CDTF">2026-04-23T05:35:41Z</dcterms:modified>
  <cp:revision>3</cp:revision>
  <dc:subject/>
  <dc:title/>
</cp:coreProperties>
</file>